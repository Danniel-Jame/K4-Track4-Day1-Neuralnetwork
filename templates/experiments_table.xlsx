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228ef332f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" r:id="Rb5f609bef9664dd7"/>
    <x:sheet xmlns:r="http://schemas.openxmlformats.org/officeDocument/2006/relationships" name="Experiments" sheetId="2" r:id="R1644d27edb534dfc"/>
    <x:sheet xmlns:r="http://schemas.openxmlformats.org/officeDocument/2006/relationships" name="Seeds" sheetId="3" r:id="Rce21fc5d6f5b4934"/>
    <x:sheet xmlns:r="http://schemas.openxmlformats.org/officeDocument/2006/relationships" name="Summary" sheetId="4" r:id="Rcd0083199c154a20"/>
  </x:sheets>
</x:workbook>
</file>

<file path=xl/sharedStrings.xml><?xml version="1.0" encoding="utf-8"?>
<x:sst xmlns:x="http://schemas.openxmlformats.org/spreadsheetml/2006/main">
  <x:si>
    <x:t xml:space="preserve">Bảng so sánh thí nghiệm — Lab Day 1</x:t>
  </x:si>
  <x:si>
    <x:t xml:space="preserve">Lưu file này thành experiments.xlsx. Mỗi lần chạy là một dòng ở sheet Experiments (số dòng tuỳ bạn, có sẵn 60 dòng). Sheet Seeds và Summary tự tổng hợp.</x:t>
  </x:si>
  <x:si>
    <x:t xml:space="preserve">Quy ước màu</x:t>
  </x:si>
  <x:si>
    <x:t xml:space="preserve">   </x:t>
  </x:si>
  <x:si>
    <x:t xml:space="preserve">Ô vàng: bạn điền (cấu hình và kết quả đo).</x:t>
  </x:si>
  <x:si>
    <x:t xml:space="preserve">abc</x:t>
  </x:si>
  <x:si>
    <x:t xml:space="preserve">Chữ xanh dương: giá trị đã điền sẵn cho dòng baseline; bạn có thể sửa.</x:t>
  </x:si>
  <x:si>
    <x:t xml:space="preserve">Ô xám: công thức tự tính. Không sửa.</x:t>
  </x:si>
  <x:si>
    <x:t xml:space="preserve">Cách dùng</x:t>
  </x:si>
  <x:si>
    <x:t xml:space="preserve">1. Sheet Experiments: dòng đầu là baseline mẫu. Điền lr và kết quả; thêm dòng cho mỗi thí nghiệm khác.</x:t>
  </x:si>
  <x:si>
    <x:t xml:space="preserve">2. Mỗi dòng phải có ảnh riêng figures/&lt;exp_id&gt;.png. Điền tên file vào cột figure_file.</x:t>
  </x:si>
  <x:si>
    <x:t xml:space="preserve">3. Sheet Seeds: nhập exp_id của các lần chạy baseline với seed khác nhau (đã gợi ý base-s1..3). Sheet tự tính trung bình, σ và 2σ.</x:t>
  </x:si>
  <x:si>
    <x:t xml:space="preserve">4. Cột beyond_noise cho biết chênh lệch val_macro_f1 so với baseline có vượt 2σ không. Chỉ 'Có' mới là bằng chứng.</x:t>
  </x:si>
  <x:si>
    <x:t xml:space="preserve">5. Sheet Summary: số dòng theo nhóm và số chủ đề (trong 7) đã được thử.</x:t>
  </x:si>
  <x:si>
    <x:t xml:space="preserve">Từ điển cột (sheet Experiments)</x:t>
  </x:si>
  <x:si>
    <x:t xml:space="preserve">Cột</x:t>
  </x:si>
  <x:si>
    <x:t xml:space="preserve">Ý nghĩa</x:t>
  </x:si>
  <x:si>
    <x:t xml:space="preserve">Cách điền</x:t>
  </x:si>
  <x:si>
    <x:t xml:space="preserve">exp_id</x:t>
  </x:si>
  <x:si>
    <x:t xml:space="preserve">Mã thí nghiệm, duy nhất; trùng tên file ảnh</x:t>
  </x:si>
  <x:si>
    <x:t xml:space="preserve">Tự đặt, ví dụ base-s1, opt-adam-lr1e-3, drop-0.3.</x:t>
  </x:si>
  <x:si>
    <x:t xml:space="preserve">group</x:t>
  </x:si>
  <x:si>
    <x:t xml:space="preserve">Nhóm: baseline | loss | optimizer | hparam | dropout | clipping | amp | init | final | other</x:t>
  </x:si>
  <x:si>
    <x:t xml:space="preserve">Chọn từ danh sách.</x:t>
  </x:si>
  <x:si>
    <x:t xml:space="preserve">description</x:t>
  </x:si>
  <x:si>
    <x:t xml:space="preserve">Bạn đổi gì so với baseline</x:t>
  </x:si>
  <x:si>
    <x:t xml:space="preserve">Một câu.</x:t>
  </x:si>
  <x:si>
    <x:t xml:space="preserve">loss</x:t>
  </x:si>
  <x:si>
    <x:t xml:space="preserve">Hàm mất mát: CE | MSE</x:t>
  </x:si>
  <x:si>
    <x:t xml:space="preserve">optimizer</x:t>
  </x:si>
  <x:si>
    <x:t xml:space="preserve">SGD | SGD+momentum | Adam | AdamW</x:t>
  </x:si>
  <x:si>
    <x:t xml:space="preserve">lr</x:t>
  </x:si>
  <x:si>
    <x:t xml:space="preserve">Tốc độ học η</x:t>
  </x:si>
  <x:si>
    <x:t xml:space="preserve">Ghi số, ví dụ 0.05 hoặc 1e-3.</x:t>
  </x:si>
  <x:si>
    <x:t xml:space="preserve">weight_decay</x:t>
  </x:si>
  <x:si>
    <x:t xml:space="preserve">Hệ số suy giảm trọng số λ</x:t>
  </x:si>
  <x:si>
    <x:t xml:space="preserve">0 nếu không dùng.</x:t>
  </x:si>
  <x:si>
    <x:t xml:space="preserve">batch</x:t>
  </x:si>
  <x:si>
    <x:t xml:space="preserve">Kích thước lô</x:t>
  </x:si>
  <x:si>
    <x:t xml:space="preserve">Số nguyên.</x:t>
  </x:si>
  <x:si>
    <x:t xml:space="preserve">epochs</x:t>
  </x:si>
  <x:si>
    <x:t xml:space="preserve">Số epoch</x:t>
  </x:si>
  <x:si>
    <x:t xml:space="preserve">Khuyến nghị 20 cho mọi thí nghiệm.</x:t>
  </x:si>
  <x:si>
    <x:t xml:space="preserve">hidden</x:t>
  </x:si>
  <x:si>
    <x:t xml:space="preserve">Các lớp ẩn, ví dụ 256-128</x:t>
  </x:si>
  <x:si>
    <x:t xml:space="preserve">Chuỗi nối bằng dấu gạch.</x:t>
  </x:si>
  <x:si>
    <x:t xml:space="preserve">dropout</x:t>
  </x:si>
  <x:si>
    <x:t xml:space="preserve">Xác suất tắt nơ-ron q</x:t>
  </x:si>
  <x:si>
    <x:t xml:space="preserve">clip_norm</x:t>
  </x:si>
  <x:si>
    <x:t xml:space="preserve">Ngưỡng cắt gradient c</x:t>
  </x:si>
  <x:si>
    <x:t xml:space="preserve">'none' nếu không clip, hoặc số.</x:t>
  </x:si>
  <x:si>
    <x:t xml:space="preserve">precision</x:t>
  </x:si>
  <x:si>
    <x:t xml:space="preserve">fp32 | fp16 | bf16</x:t>
  </x:si>
  <x:si>
    <x:t xml:space="preserve">init</x:t>
  </x:si>
  <x:si>
    <x:t xml:space="preserve">zeros | normal | xavier | he | default</x:t>
  </x:si>
  <x:si>
    <x:t xml:space="preserve">Chọn từ danh sách; 'default' = mặc định của nn.Linear.</x:t>
  </x:si>
  <x:si>
    <x:t xml:space="preserve">seed</x:t>
  </x:si>
  <x:si>
    <x:t xml:space="preserve">Seed của lần chạy</x:t>
  </x:si>
  <x:si>
    <x:t xml:space="preserve">step0_loss</x:t>
  </x:si>
  <x:si>
    <x:t xml:space="preserve">Loss trên val ở bước 0 (trước cập nhật đầu tiên)</x:t>
  </x:si>
  <x:si>
    <x:t xml:space="preserve">Kỳ vọng ≈ ln 7 = 1.946 nếu khởi tạo hợp lý.</x:t>
  </x:si>
  <x:si>
    <x:t xml:space="preserve">best_val_loss</x:t>
  </x:si>
  <x:si>
    <x:t xml:space="preserve">Val loss thấp nhất qua các epoch</x:t>
  </x:si>
  <x:si>
    <x:t xml:space="preserve">best_epoch</x:t>
  </x:si>
  <x:si>
    <x:t xml:space="preserve">Epoch đạt best_val_loss</x:t>
  </x:si>
  <x:si>
    <x:t xml:space="preserve">Đếm từ 1.</x:t>
  </x:si>
  <x:si>
    <x:t xml:space="preserve">final_train_loss</x:t>
  </x:si>
  <x:si>
    <x:t xml:space="preserve">Train loss ở epoch cuối (đo ở chế độ eval)</x:t>
  </x:si>
  <x:si>
    <x:t xml:space="preserve">final_val_loss</x:t>
  </x:si>
  <x:si>
    <x:t xml:space="preserve">Val loss ở epoch cuối</x:t>
  </x:si>
  <x:si>
    <x:t xml:space="preserve">val_acc</x:t>
  </x:si>
  <x:si>
    <x:t xml:space="preserve">Val accuracy ở best_epoch</x:t>
  </x:si>
  <x:si>
    <x:t xml:space="preserve">Phân số 0–1, ví dụ 0.8123.</x:t>
  </x:si>
  <x:si>
    <x:t xml:space="preserve">val_macro_f1</x:t>
  </x:si>
  <x:si>
    <x:t xml:space="preserve">Val macro-F1 ở best_epoch</x:t>
  </x:si>
  <x:si>
    <x:t xml:space="preserve">Phân số 0–1.</x:t>
  </x:si>
  <x:si>
    <x:t xml:space="preserve">time_per_epoch_s</x:t>
  </x:si>
  <x:si>
    <x:t xml:space="preserve">Thời gian trung bình mỗi epoch (giây)</x:t>
  </x:si>
  <x:si>
    <x:t xml:space="preserve">Có torch.cuda.synchronize().</x:t>
  </x:si>
  <x:si>
    <x:t xml:space="preserve">peak_mem_MB</x:t>
  </x:si>
  <x:si>
    <x:t xml:space="preserve">Bộ nhớ GPU cực đại (MB)</x:t>
  </x:si>
  <x:si>
    <x:t xml:space="preserve">torch.cuda.max_memory_allocated()/2**20.</x:t>
  </x:si>
  <x:si>
    <x:t xml:space="preserve">diverged</x:t>
  </x:si>
  <x:si>
    <x:t xml:space="preserve">Loss thành NaN/inf? Y | N</x:t>
  </x:si>
  <x:si>
    <x:t xml:space="preserve">eval_acc</x:t>
  </x:si>
  <x:si>
    <x:t xml:space="preserve">Accuracy trên tập eval</x:t>
  </x:si>
  <x:si>
    <x:t xml:space="preserve">CHỈ điền cho baseline và cấu hình cuối cùng, lấy từ eval_result.json.</x:t>
  </x:si>
  <x:si>
    <x:t xml:space="preserve">eval_macro_f1</x:t>
  </x:si>
  <x:si>
    <x:t xml:space="preserve">macro-F1 trên tập eval</x:t>
  </x:si>
  <x:si>
    <x:t xml:space="preserve">figure_file</x:t>
  </x:si>
  <x:si>
    <x:t xml:space="preserve">Tên file ảnh</x:t>
  </x:si>
  <x:si>
    <x:t xml:space="preserve">figures/&lt;exp_id&gt;.png</x:t>
  </x:si>
  <x:si>
    <x:t xml:space="preserve">notes</x:t>
  </x:si>
  <x:si>
    <x:t xml:space="preserve">Ghi chú</x:t>
  </x:si>
  <x:si>
    <x:t xml:space="preserve">Dự đoán trước, quan sát, lý do thiếu số liệu, lỗi gặp phải...</x:t>
  </x:si>
  <x:si>
    <x:t xml:space="preserve">step0_gap_vs_lnC</x:t>
  </x:si>
  <x:si>
    <x:t xml:space="preserve">step0_loss − ln 7</x:t>
  </x:si>
  <x:si>
    <x:t xml:space="preserve">Tự tính. Gần 0 là tốt.</x:t>
  </x:si>
  <x:si>
    <x:t xml:space="preserve">gap_val_minus_train</x:t>
  </x:si>
  <x:si>
    <x:t xml:space="preserve">final_val_loss − final_train_loss</x:t>
  </x:si>
  <x:si>
    <x:t xml:space="preserve">Tự tính. Khoảng cách quá khớp.</x:t>
  </x:si>
  <x:si>
    <x:t xml:space="preserve">delta_val_f1_vs_base</x:t>
  </x:si>
  <x:si>
    <x:t xml:space="preserve">val_macro_f1 − trung bình baseline</x:t>
  </x:si>
  <x:si>
    <x:t xml:space="preserve">Tự tính từ sheet Seeds.</x:t>
  </x:si>
  <x:si>
    <x:t xml:space="preserve">beyond_noise</x:t>
  </x:si>
  <x:si>
    <x:t xml:space="preserve">|delta| &gt; 2σ_seed ?</x:t>
  </x:si>
  <x:si>
    <x:t xml:space="preserve">Tự tính: Có / Không. Cần ≥ 2 seed baseline trong sheet Seeds.</x:t>
  </x:si>
  <x:si>
    <x:t xml:space="preserve">Ví dụ một dòng điền xong (SỐ MINH HOẠ ĐỊNH DẠNG, KHÔNG PHẢI KẾT QUẢ THẬT — đừng sao chép)</x:t>
  </x:si>
  <x:si>
    <x:t xml:space="preserve">opt-adam-lr1e-3</x:t>
  </x:si>
  <x:si>
    <x:t xml:space="preserve">Adam</x:t>
  </x:si>
  <x:si>
    <x:t xml:space="preserve">N</x:t>
  </x:si>
  <x:si>
    <x:t xml:space="preserve">figures/opt-adam-lr1e-3.png</x:t>
  </x:si>
  <x:si>
    <x:t xml:space="preserve">ln 7 = 1.9459 (loss bước 0 kỳ vọng với 7 lớp). Ngưỡng nhiễu = 2 × độ lệch chuẩn của các seed baseline.</x:t>
  </x:si>
  <x:si>
    <x:t xml:space="preserve">exp_id baseline (nhập)</x:t>
  </x:si>
  <x:si>
    <x:t xml:space="preserve">base-s1</x:t>
  </x:si>
  <x:si>
    <x:t xml:space="preserve">base-s2</x:t>
  </x:si>
  <x:si>
    <x:t xml:space="preserve">base-s3</x:t>
  </x:si>
  <x:si>
    <x:t xml:space="preserve">mean</x:t>
  </x:si>
  <x:si>
    <x:t xml:space="preserve">std (mẫu)</x:t>
  </x:si>
  <x:si>
    <x:t xml:space="preserve">2σ (ngưỡng nhiễu)</x:t>
  </x:si>
  <x:si>
    <x:t xml:space="preserve">Nhập exp_id của các lần chạy baseline (khác seed) ở cột A. Cần ≥ 2 seed để có σ.</x:t>
  </x:si>
  <x:si>
    <x:t xml:space="preserve">Mọi chênh lệch nhỏ hơn 2σ không được coi là bằng chứng. Với ít seed, σ chỉ là ước lượng thô; nêu rõ trong báo cáo.</x:t>
  </x:si>
  <x:si>
    <x:t xml:space="preserve">số dòng</x:t>
  </x:si>
  <x:si>
    <x:t xml:space="preserve">đã điền val_macro_f1</x:t>
  </x:si>
  <x:si>
    <x:t xml:space="preserve">val_macro_f1 cao nhất</x:t>
  </x:si>
  <x:si>
    <x:t xml:space="preserve">val_macro_f1 thấp nhất</x:t>
  </x:si>
  <x:si>
    <x:t xml:space="preserve">val_acc cao nhất</x:t>
  </x:si>
  <x:si>
    <x:t xml:space="preserve">đã thử chủ đề này?</x:t>
  </x:si>
  <x:si>
    <x:t xml:space="preserve">nhận xét ngắn (bạn viết)</x:t>
  </x:si>
  <x:si>
    <x:t xml:space="preserve">baseline</x:t>
  </x:si>
  <x:si>
    <x:t xml:space="preserve">hparam</x:t>
  </x:si>
  <x:si>
    <x:t xml:space="preserve">clipping</x:t>
  </x:si>
  <x:si>
    <x:t xml:space="preserve">amp</x:t>
  </x:si>
  <x:si>
    <x:t xml:space="preserve">final</x:t>
  </x:si>
  <x:si>
    <x:t xml:space="preserve">other</x:t>
  </x:si>
  <x:si>
    <x:t xml:space="preserve">Số chủ đề (trong 7) đã thử:</x:t>
  </x:si>
  <x:si>
    <x:t xml:space="preserve">7 chủ đề: loss, optimizer, hparam, dropout, clipping, amp, init. Một chủ đề 'đã thử' khi có ≥ 1 dòng có val_macro_f1.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</x:si>
</x:sst>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0.0000"/>
    <x:numFmt numFmtId="200" formatCode="0.000"/>
    <x:numFmt numFmtId="201" formatCode="0.00"/>
    <x:numFmt numFmtId="202" formatCode="0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i/>
      <x:sz val="11"/>
      <x:color rgb="FF7F6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9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0" fillId="2" borderId="1" xfId="0" applyFont="1" applyBorder="1" applyAlignment="0">
      <x:alignment horizontal="general" vertical="bottom" wrapText="0"/>
    </x:xf>
    <x:xf numFmtId="164" fontId="7" fillId="0" borderId="1" xfId="0" applyFont="1" applyBorder="1" applyAlignment="0">
      <x:alignment horizontal="general" vertical="bottom" wrapText="0"/>
    </x:xf>
    <x:xf numFmtId="164" fontId="0" fillId="3" borderId="1" xfId="0" applyFont="1" applyBorder="1" applyAlignment="0">
      <x:alignment horizontal="general" vertical="bottom" wrapText="0"/>
    </x:xf>
    <x:xf numFmtId="164" fontId="8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top" wrapText="1"/>
    </x:xf>
    <x:xf numFmtId="164" fontId="5" fillId="0" borderId="1" xfId="0" applyFont="1" applyBorder="1" applyAlignment="1">
      <x:alignment horizontal="general" vertical="top" wrapText="1"/>
    </x:xf>
    <x:xf numFmtId="164" fontId="8" fillId="4" borderId="0" xfId="0" applyFont="1" applyBorder="0" applyAlignment="1">
      <x:alignment horizontal="center" vertical="center" wrapText="1"/>
    </x:xf>
    <x:xf numFmtId="164" fontId="5" fillId="0" borderId="1" xfId="0" applyFont="1" applyBorder="1" applyAlignment="0">
      <x:alignment horizontal="general" vertical="bottom" wrapText="0"/>
    </x:xf>
    <x:xf numFmtId="164" fontId="7" fillId="2" borderId="1" xfId="0" applyFont="1" applyBorder="1" applyAlignment="0">
      <x:alignment horizontal="general" vertical="bottom" wrapText="0"/>
    </x:xf>
    <x:xf numFmtId="164" fontId="5" fillId="2" borderId="1" xfId="0" applyFont="1" applyBorder="1" applyAlignment="0">
      <x:alignment horizontal="general" vertical="bottom" wrapText="0"/>
    </x:xf>
    <x:xf numFmtId="165" fontId="5" fillId="2" borderId="1" xfId="0" applyFont="1" applyBorder="1" applyAlignment="0">
      <x:alignment horizontal="general" vertical="bottom" wrapText="0"/>
    </x:xf>
    <x:xf numFmtId="165" fontId="5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5" fillId="3" borderId="1" xfId="0" applyFont="1" applyBorder="1" applyAlignment="0">
      <x:alignment horizontal="general" vertical="bottom" wrapText="0"/>
    </x:xf>
    <x:xf numFmtId="164" fontId="5" fillId="2" borderId="1" xfId="0" applyFont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1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0" fillId="2" borderId="3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general" vertical="bottom" wrapText="0"/>
    </x:xf>
    <x:xf numFmtId="164" fontId="0" fillId="3" borderId="3" xfId="0" applyNumberFormat="1" applyFont="1" applyFill="1" applyBorder="1" applyAlignment="1">
      <x:alignment horizontal="general" vertical="bottom" wrapText="0"/>
    </x:xf>
    <x:xf numFmtId="164" fontId="8" fillId="4" borderId="3" xfId="0" applyNumberFormat="1" applyFont="1" applyFill="1" applyBorder="1" applyAlignment="1">
      <x:alignment horizontal="center" vertical="center" wrapText="1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8" fillId="4" borderId="2" xfId="0" applyNumberFormat="1" applyFont="1" applyFill="1" applyBorder="1" applyAlignment="1">
      <x:alignment horizontal="center" vertical="center" wrapText="1"/>
    </x:xf>
    <x:xf numFmtId="164" fontId="1" fillId="0" borderId="3" xfId="0" applyNumberFormat="1" applyFont="1" applyFill="1" applyBorder="1" applyAlignment="1">
      <x:alignment horizontal="general" vertical="bottom" wrapText="0"/>
    </x:xf>
    <x:xf numFmtId="164" fontId="7" fillId="2" borderId="3" xfId="0" applyNumberFormat="1" applyFont="1" applyFill="1" applyBorder="1" applyAlignment="1">
      <x:alignment horizontal="general" vertical="bottom" wrapText="0"/>
    </x:xf>
    <x:xf numFmtId="164" fontId="1" fillId="2" borderId="3" xfId="0" applyNumberFormat="1" applyFont="1" applyFill="1" applyBorder="1" applyAlignment="1">
      <x:alignment horizontal="general" vertical="bottom" wrapText="0"/>
    </x:xf>
    <x:xf numFmtId="165" fontId="1" fillId="2" borderId="3" xfId="0" applyNumberFormat="1" applyFont="1" applyFill="1" applyBorder="1" applyAlignment="1">
      <x:alignment horizontal="general" vertical="bottom" wrapText="0"/>
    </x:xf>
    <x:xf numFmtId="165" fontId="1" fillId="3" borderId="3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general" vertical="bottom" wrapText="0"/>
    </x:xf>
    <x:xf numFmtId="164" fontId="1" fillId="3" borderId="3" xfId="0" applyNumberFormat="1" applyFont="1" applyFill="1" applyBorder="1" applyAlignment="1">
      <x:alignment horizontal="general" vertical="bottom" wrapText="0"/>
    </x:xf>
    <x:xf numFmtId="164" fontId="1" fillId="2" borderId="3" xfId="0" applyNumberFormat="1" applyFont="1" applyFill="1" applyBorder="1" applyAlignment="1">
      <x:alignment horizontal="general" vertical="top" wrapText="1"/>
    </x:xf>
    <x:xf numFmtId="200" fontId="1" fillId="2" borderId="1" xfId="0" applyNumberFormat="1" applyFont="1" applyFill="1" applyBorder="1" applyAlignment="1">
      <x:alignment horizontal="general" vertical="bottom" wrapText="0"/>
    </x:xf>
    <x:xf numFmtId="200" fontId="1" fillId="2" borderId="3" xfId="0" applyNumberFormat="1" applyFont="1" applyFill="1" applyBorder="1" applyAlignment="1">
      <x:alignment horizontal="general" vertical="bottom" wrapText="0"/>
    </x:xf>
    <x:xf numFmtId="201" fontId="1" fillId="2" borderId="1" xfId="0" applyNumberFormat="1" applyFont="1" applyFill="1" applyBorder="1" applyAlignment="1">
      <x:alignment horizontal="general" vertical="bottom" wrapText="0"/>
    </x:xf>
    <x:xf numFmtId="201" fontId="1" fillId="2" borderId="3" xfId="0" applyNumberFormat="1" applyFont="1" applyFill="1" applyBorder="1" applyAlignment="1">
      <x:alignment horizontal="general" vertical="bottom" wrapText="0"/>
    </x:xf>
    <x:xf numFmtId="202" fontId="1" fillId="2" borderId="1" xfId="0" applyNumberFormat="1" applyFont="1" applyFill="1" applyBorder="1" applyAlignment="1">
      <x:alignment horizontal="general" vertical="bottom" wrapText="0"/>
    </x:xf>
    <x:xf numFmtId="202" fontId="1" fillId="2" borderId="3" xfId="0" applyNumberFormat="1" applyFont="1" applyFill="1" applyBorder="1" applyAlignment="1">
      <x:alignment horizontal="general" vertical="bottom" wrapText="0"/>
    </x:xf>
    <x:xf numFmtId="200" fontId="1" fillId="3" borderId="1" xfId="0" applyNumberFormat="1" applyFont="1" applyFill="1" applyBorder="1" applyAlignment="1">
      <x:alignment horizontal="general" vertical="bottom" wrapText="0"/>
    </x:xf>
    <x:xf numFmtId="200" fontId="1" fillId="3" borderId="3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0" fillId="0" borderId="2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general" vertical="bottom" wrapText="1"/>
    </x:xf>
    <x:xf numFmtId="164" fontId="9" fillId="5" borderId="0" xfId="0" applyNumberFormat="1" applyFont="1" applyFill="1" applyBorder="1" applyAlignment="1">
      <x:alignment horizontal="left" vertical="bottom" wrapText="1"/>
    </x:xf>
    <x:xf numFmtId="164" fontId="9" fillId="5" borderId="0" xfId="0" applyNumberFormat="1" applyFont="1" applyFill="1" applyBorder="1" applyAlignment="1">
      <x:alignment horizontal="left" vertical="center" wrapText="1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9" fillId="5" borderId="2" xfId="0" applyNumberFormat="1" applyFont="1" applyFill="1" applyBorder="1" applyAlignment="1">
      <x:alignment horizontal="general" vertical="bottom" wrapText="0"/>
    </x:xf>
    <x:xf numFmtId="164" fontId="9" fillId="5" borderId="2" xfId="0" applyNumberFormat="1" applyFont="1" applyFill="1" applyBorder="1" applyAlignment="1">
      <x:alignment horizontal="general" vertical="bottom" wrapText="1"/>
    </x:xf>
    <x:xf numFmtId="164" fontId="9" fillId="5" borderId="2" xfId="0" applyNumberFormat="1" applyFont="1" applyFill="1" applyBorder="1" applyAlignment="1">
      <x:alignment horizontal="left" vertical="bottom" wrapText="1"/>
    </x:xf>
    <x:xf numFmtId="164" fontId="9" fillId="5" borderId="2" xfId="0" applyNumberFormat="1" applyFont="1" applyFill="1" applyBorder="1" applyAlignment="1">
      <x:alignment horizontal="left" vertical="center" wrapText="1"/>
    </x:xf>
    <x:xf numFmtId="164" fontId="8" fillId="4" borderId="1" xfId="0" applyNumberFormat="1" applyFont="1" applyFill="1" applyBorder="1" applyAlignment="1">
      <x:alignment horizontal="center" vertical="center" wrapText="1"/>
    </x:xf>
    <x:xf numFmtId="164" fontId="7" fillId="2" borderId="1" xfId="0" applyNumberFormat="1" applyFont="1" applyFill="1" applyBorder="1" applyAlignment="1">
      <x:alignment horizontal="general" vertical="bottom" wrapText="1"/>
    </x:xf>
    <x:xf numFmtId="200" fontId="1" fillId="2" borderId="1" xfId="0" applyNumberFormat="1" applyFont="1" applyFill="1" applyBorder="1" applyAlignment="1">
      <x:alignment horizontal="general" vertical="bottom" wrapText="1"/>
    </x:xf>
    <x:xf numFmtId="201" fontId="1" fillId="2" borderId="1" xfId="0" applyNumberFormat="1" applyFont="1" applyFill="1" applyBorder="1" applyAlignment="1">
      <x:alignment horizontal="general" vertical="bottom" wrapText="1"/>
    </x:xf>
    <x:xf numFmtId="202" fontId="1" fillId="2" borderId="1" xfId="0" applyNumberFormat="1" applyFont="1" applyFill="1" applyBorder="1" applyAlignment="1">
      <x:alignment horizontal="general" vertical="bottom" wrapText="1"/>
    </x:xf>
    <x:xf numFmtId="164" fontId="1" fillId="2" borderId="1" xfId="0" applyNumberFormat="1" applyFont="1" applyFill="1" applyBorder="1" applyAlignment="1">
      <x:alignment horizontal="general" vertical="bottom" wrapText="1"/>
    </x:xf>
    <x:xf numFmtId="200" fontId="1" fillId="3" borderId="1" xfId="0" applyNumberFormat="1" applyFont="1" applyFill="1" applyBorder="1" applyAlignment="1">
      <x:alignment horizontal="general" vertical="bottom" wrapText="1"/>
    </x:xf>
    <x:xf numFmtId="165" fontId="1" fillId="3" borderId="1" xfId="0" applyNumberFormat="1" applyFont="1" applyFill="1" applyBorder="1" applyAlignment="1">
      <x:alignment horizontal="general" vertical="bottom" wrapText="1"/>
    </x:xf>
    <x:xf numFmtId="164" fontId="7" fillId="2" borderId="3" xfId="0" applyNumberFormat="1" applyFont="1" applyFill="1" applyBorder="1" applyAlignment="1">
      <x:alignment horizontal="general" vertical="bottom" wrapText="1"/>
    </x:xf>
    <x:xf numFmtId="200" fontId="1" fillId="2" borderId="3" xfId="0" applyNumberFormat="1" applyFont="1" applyFill="1" applyBorder="1" applyAlignment="1">
      <x:alignment horizontal="general" vertical="bottom" wrapText="1"/>
    </x:xf>
    <x:xf numFmtId="201" fontId="1" fillId="2" borderId="3" xfId="0" applyNumberFormat="1" applyFont="1" applyFill="1" applyBorder="1" applyAlignment="1">
      <x:alignment horizontal="general" vertical="bottom" wrapText="1"/>
    </x:xf>
    <x:xf numFmtId="202" fontId="1" fillId="2" borderId="3" xfId="0" applyNumberFormat="1" applyFont="1" applyFill="1" applyBorder="1" applyAlignment="1">
      <x:alignment horizontal="general" vertical="bottom" wrapText="1"/>
    </x:xf>
    <x:xf numFmtId="164" fontId="1" fillId="2" borderId="3" xfId="0" applyNumberFormat="1" applyFont="1" applyFill="1" applyBorder="1" applyAlignment="1">
      <x:alignment horizontal="general" vertical="bottom" wrapText="1"/>
    </x:xf>
    <x:xf numFmtId="200" fontId="1" fillId="3" borderId="3" xfId="0" applyNumberFormat="1" applyFont="1" applyFill="1" applyBorder="1" applyAlignment="1">
      <x:alignment horizontal="general" vertical="bottom" wrapText="1"/>
    </x:xf>
    <x:xf numFmtId="165" fontId="1" fillId="3" borderId="3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4" fontId="1" fillId="3" borderId="1" xfId="0" applyNumberFormat="1" applyFont="1" applyFill="1" applyBorder="1" applyAlignment="1">
      <x:alignment horizontal="general" vertical="bottom" wrapText="1"/>
    </x:xf>
    <x:xf numFmtId="164" fontId="1" fillId="2" borderId="1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0" borderId="0" xfId="0" applyNumberFormat="1" applyFont="1" applyFill="1" applyBorder="1" applyAlignment="1">
      <x:alignment horizontal="general" vertical="bottom" wrapText="1"/>
    </x:xf>
    <x:xf numFmtId="164" fontId="1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6">
    <x:dxf>
      <x:fill>
        <x:patternFill>
          <x:bgColor rgb="FF1F3864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0000FF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E7E6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7E6E6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9af5e21fc4bee" /><Relationship Type="http://schemas.openxmlformats.org/officeDocument/2006/relationships/theme" Target="/xl/theme/theme1.xml" Id="R08f54f1d61b74930" /><Relationship Type="http://schemas.openxmlformats.org/officeDocument/2006/relationships/sharedStrings" Target="/xl/sharedStrings.xml" Id="R36b0dad112484c33" /><Relationship Type="http://schemas.openxmlformats.org/officeDocument/2006/relationships/worksheet" Target="/xl/worksheets/sheet1.xml" Id="Rb5f609bef9664dd7" /><Relationship Type="http://schemas.openxmlformats.org/officeDocument/2006/relationships/worksheet" Target="/xl/worksheets/sheet2.xml" Id="R1644d27edb534dfc" /><Relationship Type="http://schemas.openxmlformats.org/officeDocument/2006/relationships/worksheet" Target="/xl/worksheets/sheet3.xml" Id="Rce21fc5d6f5b4934" /><Relationship Type="http://schemas.openxmlformats.org/officeDocument/2006/relationships/worksheet" Target="/xl/worksheets/sheet4.xml" Id="Rcd0083199c154a2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60" hidden="0" customWidth="1"/>
    <x:col min="3" max="3" width="52" hidden="0" customWidth="1"/>
    <x:col min="4" max="12" width="14" hidden="0" customWidth="1"/>
  </x:cols>
  <x:sheetData>
    <x:row r="1" ht="17.350000381469727" hidden="0">
      <x:c r="A1" s="1" t="s">
        <x:v>0</x:v>
      </x:c>
    </x:row>
    <x:row r="2" ht="15" hidden="0">
      <x:c r="A2" s="2" t="s">
        <x:v>1</x:v>
      </x:c>
    </x:row>
    <x:row r="3" ht="30" customHeight="1">
      <x:c r="A3" s="52" t="str">
        <x:v>Dữ liệu trong file đã được tự sinh để hoàn thiện mẫu lab; thay bằng kết quả chạy thực tế trước khi nộp.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</x:row>
    <x:row r="4" ht="15" hidden="0">
      <x:c r="A4" s="3" t="s">
        <x:v>2</x:v>
      </x:c>
    </x:row>
    <x:row r="5" ht="15" hidden="0">
      <x:c r="A5" s="4" t="s">
        <x:v>3</x:v>
      </x:c>
      <x:c r="B5" s="2" t="s">
        <x:v>4</x:v>
      </x:c>
    </x:row>
    <x:row r="6" ht="15" hidden="0">
      <x:c r="A6" s="5" t="s">
        <x:v>5</x:v>
      </x:c>
      <x:c r="B6" s="2" t="s">
        <x:v>6</x:v>
      </x:c>
    </x:row>
    <x:row r="7" ht="15" hidden="0">
      <x:c r="A7" s="6" t="s">
        <x:v>3</x:v>
      </x:c>
      <x:c r="B7" s="2" t="s">
        <x:v>7</x:v>
      </x:c>
    </x:row>
    <x:row r="9" ht="15" hidden="0">
      <x:c r="A9" s="3" t="s">
        <x:v>8</x:v>
      </x:c>
    </x:row>
    <x:row r="10" ht="15" hidden="0">
      <x:c r="A10" s="2" t="s">
        <x:v>9</x:v>
      </x:c>
    </x:row>
    <x:row r="11" ht="15" hidden="0">
      <x:c r="A11" s="2" t="s">
        <x:v>10</x:v>
      </x:c>
    </x:row>
    <x:row r="12" ht="15" hidden="0">
      <x:c r="A12" s="2" t="s">
        <x:v>11</x:v>
      </x:c>
    </x:row>
    <x:row r="13" ht="15" hidden="0">
      <x:c r="A13" s="2" t="s">
        <x:v>12</x:v>
      </x:c>
    </x:row>
    <x:row r="14" ht="15" hidden="0">
      <x:c r="A14" s="2" t="s">
        <x:v>13</x:v>
      </x:c>
    </x:row>
    <x:row r="16" ht="15" hidden="0">
      <x:c r="A16" s="3" t="s">
        <x:v>14</x:v>
      </x:c>
    </x:row>
    <x:row r="17" ht="15" hidden="0">
      <x:c r="A17" s="7" t="s">
        <x:v>15</x:v>
      </x:c>
      <x:c r="B17" s="7" t="s">
        <x:v>16</x:v>
      </x:c>
      <x:c r="C17" s="7" t="s">
        <x:v>17</x:v>
      </x:c>
    </x:row>
    <x:row r="18" ht="15" hidden="0">
      <x:c r="A18" s="8" t="s">
        <x:v>18</x:v>
      </x:c>
      <x:c r="B18" s="9" t="s">
        <x:v>19</x:v>
      </x:c>
      <x:c r="C18" s="9" t="s">
        <x:v>20</x:v>
      </x:c>
    </x:row>
    <x:row r="19" ht="23.850000381469727" hidden="0">
      <x:c r="A19" s="8" t="s">
        <x:v>21</x:v>
      </x:c>
      <x:c r="B19" s="9" t="s">
        <x:v>22</x:v>
      </x:c>
      <x:c r="C19" s="9" t="s">
        <x:v>23</x:v>
      </x:c>
    </x:row>
    <x:row r="20" ht="15" hidden="0">
      <x:c r="A20" s="8" t="s">
        <x:v>24</x:v>
      </x:c>
      <x:c r="B20" s="9" t="s">
        <x:v>25</x:v>
      </x:c>
      <x:c r="C20" s="9" t="s">
        <x:v>26</x:v>
      </x:c>
    </x:row>
    <x:row r="21" ht="15" hidden="0">
      <x:c r="A21" s="8" t="s">
        <x:v>27</x:v>
      </x:c>
      <x:c r="B21" s="9" t="s">
        <x:v>28</x:v>
      </x:c>
      <x:c r="C21" s="9" t="s">
        <x:v>23</x:v>
      </x:c>
    </x:row>
    <x:row r="22" ht="15" hidden="0">
      <x:c r="A22" s="8" t="s">
        <x:v>29</x:v>
      </x:c>
      <x:c r="B22" s="9" t="s">
        <x:v>30</x:v>
      </x:c>
      <x:c r="C22" s="9" t="s">
        <x:v>23</x:v>
      </x:c>
    </x:row>
    <x:row r="23" ht="15" hidden="0">
      <x:c r="A23" s="8" t="s">
        <x:v>31</x:v>
      </x:c>
      <x:c r="B23" s="9" t="s">
        <x:v>32</x:v>
      </x:c>
      <x:c r="C23" s="9" t="s">
        <x:v>33</x:v>
      </x:c>
    </x:row>
    <x:row r="24" ht="15" hidden="0">
      <x:c r="A24" s="8" t="s">
        <x:v>34</x:v>
      </x:c>
      <x:c r="B24" s="9" t="s">
        <x:v>35</x:v>
      </x:c>
      <x:c r="C24" s="9" t="s">
        <x:v>36</x:v>
      </x:c>
    </x:row>
    <x:row r="25" ht="15" hidden="0">
      <x:c r="A25" s="8" t="s">
        <x:v>37</x:v>
      </x:c>
      <x:c r="B25" s="9" t="s">
        <x:v>38</x:v>
      </x:c>
      <x:c r="C25" s="9" t="s">
        <x:v>39</x:v>
      </x:c>
    </x:row>
    <x:row r="26" ht="15" hidden="0">
      <x:c r="A26" s="8" t="s">
        <x:v>40</x:v>
      </x:c>
      <x:c r="B26" s="9" t="s">
        <x:v>41</x:v>
      </x:c>
      <x:c r="C26" s="9" t="s">
        <x:v>42</x:v>
      </x:c>
    </x:row>
    <x:row r="27" ht="15" hidden="0">
      <x:c r="A27" s="8" t="s">
        <x:v>43</x:v>
      </x:c>
      <x:c r="B27" s="9" t="s">
        <x:v>44</x:v>
      </x:c>
      <x:c r="C27" s="9" t="s">
        <x:v>45</x:v>
      </x:c>
    </x:row>
    <x:row r="28" ht="15" hidden="0">
      <x:c r="A28" s="8" t="s">
        <x:v>46</x:v>
      </x:c>
      <x:c r="B28" s="9" t="s">
        <x:v>47</x:v>
      </x:c>
      <x:c r="C28" s="9" t="s">
        <x:v>36</x:v>
      </x:c>
    </x:row>
    <x:row r="29" ht="15" hidden="0">
      <x:c r="A29" s="8" t="s">
        <x:v>48</x:v>
      </x:c>
      <x:c r="B29" s="9" t="s">
        <x:v>49</x:v>
      </x:c>
      <x:c r="C29" s="9" t="s">
        <x:v>50</x:v>
      </x:c>
    </x:row>
    <x:row r="30" ht="15" hidden="0">
      <x:c r="A30" s="8" t="s">
        <x:v>51</x:v>
      </x:c>
      <x:c r="B30" s="9" t="s">
        <x:v>52</x:v>
      </x:c>
      <x:c r="C30" s="9" t="s">
        <x:v>23</x:v>
      </x:c>
    </x:row>
    <x:row r="31" ht="15" hidden="0">
      <x:c r="A31" s="8" t="s">
        <x:v>53</x:v>
      </x:c>
      <x:c r="B31" s="9" t="s">
        <x:v>54</x:v>
      </x:c>
      <x:c r="C31" s="9" t="s">
        <x:v>55</x:v>
      </x:c>
    </x:row>
    <x:row r="32" ht="15" hidden="0">
      <x:c r="A32" s="8" t="s">
        <x:v>56</x:v>
      </x:c>
      <x:c r="B32" s="9" t="s">
        <x:v>57</x:v>
      </x:c>
      <x:c r="C32" s="9" t="s">
        <x:v>39</x:v>
      </x:c>
    </x:row>
    <x:row r="33" ht="15" hidden="0">
      <x:c r="A33" s="8" t="s">
        <x:v>58</x:v>
      </x:c>
      <x:c r="B33" s="9" t="s">
        <x:v>59</x:v>
      </x:c>
      <x:c r="C33" s="9" t="s">
        <x:v>60</x:v>
      </x:c>
    </x:row>
    <x:row r="34" ht="15" hidden="0">
      <x:c r="A34" s="8" t="s">
        <x:v>61</x:v>
      </x:c>
      <x:c r="B34" s="9" t="s">
        <x:v>62</x:v>
      </x:c>
      <x:c r="C34" s="9"/>
    </x:row>
    <x:row r="35" ht="15" hidden="0">
      <x:c r="A35" s="8" t="s">
        <x:v>63</x:v>
      </x:c>
      <x:c r="B35" s="9" t="s">
        <x:v>64</x:v>
      </x:c>
      <x:c r="C35" s="9" t="s">
        <x:v>65</x:v>
      </x:c>
    </x:row>
    <x:row r="36" ht="15" hidden="0">
      <x:c r="A36" s="8" t="s">
        <x:v>66</x:v>
      </x:c>
      <x:c r="B36" s="9" t="s">
        <x:v>67</x:v>
      </x:c>
      <x:c r="C36" s="9"/>
    </x:row>
    <x:row r="37" ht="15" hidden="0">
      <x:c r="A37" s="8" t="s">
        <x:v>68</x:v>
      </x:c>
      <x:c r="B37" s="9" t="s">
        <x:v>69</x:v>
      </x:c>
      <x:c r="C37" s="9"/>
    </x:row>
    <x:row r="38" ht="15" hidden="0">
      <x:c r="A38" s="8" t="s">
        <x:v>70</x:v>
      </x:c>
      <x:c r="B38" s="9" t="s">
        <x:v>71</x:v>
      </x:c>
      <x:c r="C38" s="9" t="s">
        <x:v>72</x:v>
      </x:c>
    </x:row>
    <x:row r="39" ht="15" hidden="0">
      <x:c r="A39" s="8" t="s">
        <x:v>73</x:v>
      </x:c>
      <x:c r="B39" s="9" t="s">
        <x:v>74</x:v>
      </x:c>
      <x:c r="C39" s="9" t="s">
        <x:v>75</x:v>
      </x:c>
    </x:row>
    <x:row r="40" ht="15" hidden="0">
      <x:c r="A40" s="8" t="s">
        <x:v>76</x:v>
      </x:c>
      <x:c r="B40" s="9" t="s">
        <x:v>77</x:v>
      </x:c>
      <x:c r="C40" s="9" t="s">
        <x:v>78</x:v>
      </x:c>
    </x:row>
    <x:row r="41" ht="15" hidden="0">
      <x:c r="A41" s="8" t="s">
        <x:v>79</x:v>
      </x:c>
      <x:c r="B41" s="9" t="s">
        <x:v>80</x:v>
      </x:c>
      <x:c r="C41" s="9" t="s">
        <x:v>81</x:v>
      </x:c>
    </x:row>
    <x:row r="42" ht="15" hidden="0">
      <x:c r="A42" s="8" t="s">
        <x:v>82</x:v>
      </x:c>
      <x:c r="B42" s="9" t="s">
        <x:v>83</x:v>
      </x:c>
      <x:c r="C42" s="9" t="s">
        <x:v>23</x:v>
      </x:c>
    </x:row>
    <x:row r="43" ht="23.850000381469727" hidden="0">
      <x:c r="A43" s="8" t="s">
        <x:v>84</x:v>
      </x:c>
      <x:c r="B43" s="9" t="s">
        <x:v>85</x:v>
      </x:c>
      <x:c r="C43" s="9" t="s">
        <x:v>86</x:v>
      </x:c>
    </x:row>
    <x:row r="44" ht="23.850000381469727" hidden="0">
      <x:c r="A44" s="8" t="s">
        <x:v>87</x:v>
      </x:c>
      <x:c r="B44" s="9" t="s">
        <x:v>88</x:v>
      </x:c>
      <x:c r="C44" s="9" t="s">
        <x:v>86</x:v>
      </x:c>
    </x:row>
    <x:row r="45" ht="15" hidden="0">
      <x:c r="A45" s="8" t="s">
        <x:v>89</x:v>
      </x:c>
      <x:c r="B45" s="9" t="s">
        <x:v>90</x:v>
      </x:c>
      <x:c r="C45" s="9" t="s">
        <x:v>91</x:v>
      </x:c>
    </x:row>
    <x:row r="46" ht="15" hidden="0">
      <x:c r="A46" s="8" t="s">
        <x:v>92</x:v>
      </x:c>
      <x:c r="B46" s="9" t="s">
        <x:v>93</x:v>
      </x:c>
      <x:c r="C46" s="9" t="s">
        <x:v>94</x:v>
      </x:c>
    </x:row>
    <x:row r="47" ht="15" hidden="0">
      <x:c r="A47" s="8" t="s">
        <x:v>95</x:v>
      </x:c>
      <x:c r="B47" s="9" t="s">
        <x:v>96</x:v>
      </x:c>
      <x:c r="C47" s="9" t="s">
        <x:v>97</x:v>
      </x:c>
    </x:row>
    <x:row r="48" ht="15" hidden="0">
      <x:c r="A48" s="8" t="s">
        <x:v>98</x:v>
      </x:c>
      <x:c r="B48" s="9" t="s">
        <x:v>99</x:v>
      </x:c>
      <x:c r="C48" s="9" t="s">
        <x:v>100</x:v>
      </x:c>
    </x:row>
    <x:row r="49" ht="15" hidden="0">
      <x:c r="A49" s="8" t="s">
        <x:v>101</x:v>
      </x:c>
      <x:c r="B49" s="9" t="s">
        <x:v>102</x:v>
      </x:c>
      <x:c r="C49" s="9" t="s">
        <x:v>103</x:v>
      </x:c>
    </x:row>
    <x:row r="50" ht="15" hidden="0">
      <x:c r="A50" s="8" t="s">
        <x:v>104</x:v>
      </x:c>
      <x:c r="B50" s="9" t="s">
        <x:v>105</x:v>
      </x:c>
      <x:c r="C50" s="9" t="s">
        <x:v>106</x:v>
      </x:c>
    </x:row>
    <x:row r="52" ht="15" hidden="0">
      <x:c r="A52" s="3" t="s">
        <x:v>107</x:v>
      </x:c>
    </x:row>
    <x:row r="53" ht="23.850000381469727" hidden="0">
      <x:c r="A53" s="10" t="s">
        <x:v>18</x:v>
      </x:c>
      <x:c r="B53" s="10" t="s">
        <x:v>21</x:v>
      </x:c>
      <x:c r="C53" s="10" t="s">
        <x:v>29</x:v>
      </x:c>
      <x:c r="D53" s="10" t="s">
        <x:v>31</x:v>
      </x:c>
      <x:c r="E53" s="10" t="s">
        <x:v>58</x:v>
      </x:c>
      <x:c r="F53" s="10" t="s">
        <x:v>61</x:v>
      </x:c>
      <x:c r="G53" s="10" t="s">
        <x:v>63</x:v>
      </x:c>
      <x:c r="H53" s="10" t="s">
        <x:v>70</x:v>
      </x:c>
      <x:c r="I53" s="10" t="s">
        <x:v>73</x:v>
      </x:c>
      <x:c r="J53" s="10" t="s">
        <x:v>76</x:v>
      </x:c>
      <x:c r="K53" s="10" t="s">
        <x:v>82</x:v>
      </x:c>
      <x:c r="L53" s="10" t="s">
        <x:v>89</x:v>
      </x:c>
    </x:row>
    <x:row r="54" ht="15" hidden="0">
      <x:c r="A54" s="11" t="s">
        <x:v>108</x:v>
      </x:c>
      <x:c r="B54" s="11" t="s">
        <x:v>29</x:v>
      </x:c>
      <x:c r="C54" s="11" t="s">
        <x:v>109</x:v>
      </x:c>
      <x:c r="D54" s="11" t="n">
        <x:v>0.001</x:v>
      </x:c>
      <x:c r="E54" s="11" t="n">
        <x:v>1.95</x:v>
      </x:c>
      <x:c r="F54" s="11" t="n">
        <x:v>0.6</x:v>
      </x:c>
      <x:c r="G54" s="11" t="n">
        <x:v>18</x:v>
      </x:c>
      <x:c r="H54" s="11" t="n">
        <x:v>0.75</x:v>
      </x:c>
      <x:c r="I54" s="11" t="n">
        <x:v>0.65</x:v>
      </x:c>
      <x:c r="J54" s="11" t="n">
        <x:v>2.1</x:v>
      </x:c>
      <x:c r="K54" s="11" t="s">
        <x:v>110</x:v>
      </x:c>
      <x:c r="L54" s="11" t="s">
        <x:v>111</x:v>
      </x:c>
    </x:row>
    <x:row r="56" ht="15" hidden="0">
      <x:c r="A56" s="2" t="s">
        <x:v>112</x:v>
      </x:c>
    </x:row>
  </x:sheetData>
  <x:mergeCells>
    <x:mergeCell ref="A3:L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11" hidden="0" customWidth="1"/>
    <x:col min="3" max="3" width="34" hidden="0" customWidth="1"/>
    <x:col min="4" max="4" width="8" hidden="0" customWidth="1"/>
    <x:col min="5" max="5" width="15" hidden="0" customWidth="1"/>
    <x:col min="6" max="7" width="9" hidden="0" customWidth="1"/>
    <x:col min="8" max="9" width="7" hidden="0" customWidth="1"/>
    <x:col min="10" max="10" width="12" hidden="0" customWidth="1"/>
    <x:col min="11" max="11" width="8" hidden="0" customWidth="1"/>
    <x:col min="12" max="12" width="9" hidden="0" customWidth="1"/>
    <x:col min="13" max="13" width="10" hidden="0" customWidth="1"/>
    <x:col min="14" max="14" width="9" hidden="0" customWidth="1"/>
    <x:col min="15" max="15" width="6" hidden="0" customWidth="1"/>
    <x:col min="16" max="17" width="10" hidden="0" customWidth="1"/>
    <x:col min="18" max="18" width="8" hidden="0" customWidth="1"/>
    <x:col min="19" max="20" width="10" hidden="0" customWidth="1"/>
    <x:col min="21" max="22" width="9" hidden="0" customWidth="1"/>
    <x:col min="23" max="23" width="10" hidden="0" customWidth="1"/>
    <x:col min="24" max="27" width="9" hidden="0" customWidth="1"/>
    <x:col min="28" max="28" width="22" hidden="0" customWidth="1"/>
    <x:col min="29" max="29" width="36" hidden="0" customWidth="1"/>
    <x:col min="30" max="32" width="10" hidden="0" customWidth="1"/>
    <x:col min="33" max="33" width="9" hidden="0" customWidth="1"/>
  </x:cols>
  <x:sheetData>
    <x:row r="1" ht="42" hidden="0" customHeight="1">
      <x:c r="A1" s="58" t="s">
        <x:v>18</x:v>
      </x:c>
      <x:c r="B1" s="58" t="s">
        <x:v>21</x:v>
      </x:c>
      <x:c r="C1" s="58" t="s">
        <x:v>24</x:v>
      </x:c>
      <x:c r="D1" s="58" t="s">
        <x:v>27</x:v>
      </x:c>
      <x:c r="E1" s="58" t="s">
        <x:v>29</x:v>
      </x:c>
      <x:c r="F1" s="58" t="s">
        <x:v>31</x:v>
      </x:c>
      <x:c r="G1" s="58" t="s">
        <x:v>34</x:v>
      </x:c>
      <x:c r="H1" s="58" t="s">
        <x:v>37</x:v>
      </x:c>
      <x:c r="I1" s="58" t="s">
        <x:v>40</x:v>
      </x:c>
      <x:c r="J1" s="58" t="s">
        <x:v>43</x:v>
      </x:c>
      <x:c r="K1" s="58" t="s">
        <x:v>46</x:v>
      </x:c>
      <x:c r="L1" s="58" t="s">
        <x:v>48</x:v>
      </x:c>
      <x:c r="M1" s="58" t="s">
        <x:v>51</x:v>
      </x:c>
      <x:c r="N1" s="58" t="s">
        <x:v>53</x:v>
      </x:c>
      <x:c r="O1" s="58" t="s">
        <x:v>56</x:v>
      </x:c>
      <x:c r="P1" s="58" t="s">
        <x:v>58</x:v>
      </x:c>
      <x:c r="Q1" s="58" t="s">
        <x:v>61</x:v>
      </x:c>
      <x:c r="R1" s="58" t="s">
        <x:v>63</x:v>
      </x:c>
      <x:c r="S1" s="58" t="s">
        <x:v>66</x:v>
      </x:c>
      <x:c r="T1" s="58" t="s">
        <x:v>68</x:v>
      </x:c>
      <x:c r="U1" s="58" t="s">
        <x:v>70</x:v>
      </x:c>
      <x:c r="V1" s="58" t="s">
        <x:v>73</x:v>
      </x:c>
      <x:c r="W1" s="58" t="s">
        <x:v>76</x:v>
      </x:c>
      <x:c r="X1" s="58" t="s">
        <x:v>79</x:v>
      </x:c>
      <x:c r="Y1" s="58" t="s">
        <x:v>82</x:v>
      </x:c>
      <x:c r="Z1" s="58" t="s">
        <x:v>84</x:v>
      </x:c>
      <x:c r="AA1" s="58" t="s">
        <x:v>87</x:v>
      </x:c>
      <x:c r="AB1" s="58" t="s">
        <x:v>89</x:v>
      </x:c>
      <x:c r="AC1" s="58" t="s">
        <x:v>92</x:v>
      </x:c>
      <x:c r="AD1" s="58" t="s">
        <x:v>95</x:v>
      </x:c>
      <x:c r="AE1" s="58" t="s">
        <x:v>98</x:v>
      </x:c>
      <x:c r="AF1" s="58" t="s">
        <x:v>101</x:v>
      </x:c>
      <x:c r="AG1" s="58" t="s">
        <x:v>104</x:v>
      </x:c>
    </x:row>
    <x:row r="2" ht="15" hidden="0">
      <x:c r="A2" s="59" t="str">
        <x:v>base-s1</x:v>
      </x:c>
      <x:c r="B2" s="59" t="str">
        <x:v>baseline</x:v>
      </x:c>
      <x:c r="C2" s="59" t="str">
        <x:v>Baseline M-base, seed 1</x:v>
      </x:c>
      <x:c r="D2" s="59" t="str">
        <x:v>CE</x:v>
      </x:c>
      <x:c r="E2" s="59" t="str">
        <x:v>SGD+momentum</x:v>
      </x:c>
      <x:c r="F2" s="60" t="n">
        <x:v>0.03</x:v>
      </x:c>
      <x:c r="G2" s="59" t="n">
        <x:v>0</x:v>
      </x:c>
      <x:c r="H2" s="59" t="n">
        <x:v>512</x:v>
      </x:c>
      <x:c r="I2" s="59" t="n">
        <x:v>20</x:v>
      </x:c>
      <x:c r="J2" s="59" t="str">
        <x:v>256-128</x:v>
      </x:c>
      <x:c r="K2" s="59" t="n">
        <x:v>0</x:v>
      </x:c>
      <x:c r="L2" s="59" t="str">
        <x:v>none</x:v>
      </x:c>
      <x:c r="M2" s="59" t="str">
        <x:v>fp32</x:v>
      </x:c>
      <x:c r="N2" s="59" t="str">
        <x:v>he</x:v>
      </x:c>
      <x:c r="O2" s="59" t="n">
        <x:v>1</x:v>
      </x:c>
      <x:c r="P2" s="60" t="n">
        <x:v>1.946</x:v>
      </x:c>
      <x:c r="Q2" s="60" t="n">
        <x:v>0.646</x:v>
      </x:c>
      <x:c r="R2" s="60" t="n">
        <x:v>18</x:v>
      </x:c>
      <x:c r="S2" s="60" t="n">
        <x:v>0.512</x:v>
      </x:c>
      <x:c r="T2" s="60" t="n">
        <x:v>0.642</x:v>
      </x:c>
      <x:c r="U2" s="60" t="n">
        <x:v>0.782</x:v>
      </x:c>
      <x:c r="V2" s="60" t="n">
        <x:v>0.744</x:v>
      </x:c>
      <x:c r="W2" s="61" t="n">
        <x:v>1.42</x:v>
      </x:c>
      <x:c r="X2" s="62" t="n">
        <x:v>412</x:v>
      </x:c>
      <x:c r="Y2" s="63" t="str">
        <x:v>No</x:v>
      </x:c>
      <x:c r="Z2" s="60" t="n">
        <x:v>0.778</x:v>
      </x:c>
      <x:c r="AA2" s="60" t="n">
        <x:v>0.739</x:v>
      </x:c>
      <x:c r="AB2" s="63" t="str">
        <x:v>base-s1.png</x:v>
      </x:c>
      <x:c r="AC2" s="63" t="str">
        <x:v>Synthetic lab values; replace with actual run results.</x:v>
      </x:c>
      <x:c r="AD2" s="64" t="n">
        <x:f aca="0">P2-LN(7)</x:f>
        <x:v>0.00008985094468672017</x:v>
      </x:c>
      <x:c r="AE2" s="64" t="n">
        <x:f aca="0">T2-S2</x:f>
        <x:v>0.13</x:v>
      </x:c>
      <x:c r="AF2" s="64" t="n">
        <x:f aca="0">V2-Seeds!$C$8</x:f>
        <x:v>-0.00033333333333340764</x:v>
      </x:c>
      <x:c r="AG2" s="65" t="str">
        <x:f aca="0">IF(ABS(AF2)&gt;Seeds!$C$10,"Có","Không")</x:f>
        <x:v>Không</x:v>
      </x:c>
    </x:row>
    <x:row r="3" ht="15" hidden="0">
      <x:c r="A3" s="63" t="str">
        <x:v>base-s2</x:v>
      </x:c>
      <x:c r="B3" s="63" t="str">
        <x:v>baseline</x:v>
      </x:c>
      <x:c r="C3" s="63" t="str">
        <x:v>Baseline M-base, seed 2</x:v>
      </x:c>
      <x:c r="D3" s="63" t="str">
        <x:v>CE</x:v>
      </x:c>
      <x:c r="E3" s="63" t="str">
        <x:v>SGD+momentum</x:v>
      </x:c>
      <x:c r="F3" s="60" t="n">
        <x:v>0.03</x:v>
      </x:c>
      <x:c r="G3" s="63" t="n">
        <x:v>0</x:v>
      </x:c>
      <x:c r="H3" s="63" t="n">
        <x:v>512</x:v>
      </x:c>
      <x:c r="I3" s="63" t="n">
        <x:v>20</x:v>
      </x:c>
      <x:c r="J3" s="63" t="str">
        <x:v>256-128</x:v>
      </x:c>
      <x:c r="K3" s="63" t="n">
        <x:v>0</x:v>
      </x:c>
      <x:c r="L3" s="63" t="str">
        <x:v>none</x:v>
      </x:c>
      <x:c r="M3" s="63" t="str">
        <x:v>fp32</x:v>
      </x:c>
      <x:c r="N3" s="63" t="str">
        <x:v>he</x:v>
      </x:c>
      <x:c r="O3" s="63" t="n">
        <x:v>2</x:v>
      </x:c>
      <x:c r="P3" s="60" t="n">
        <x:v>1.944</x:v>
      </x:c>
      <x:c r="Q3" s="60" t="n">
        <x:v>0.64</x:v>
      </x:c>
      <x:c r="R3" s="60" t="n">
        <x:v>19</x:v>
      </x:c>
      <x:c r="S3" s="60" t="n">
        <x:v>0.508</x:v>
      </x:c>
      <x:c r="T3" s="60" t="n">
        <x:v>0.636</x:v>
      </x:c>
      <x:c r="U3" s="60" t="n">
        <x:v>0.785</x:v>
      </x:c>
      <x:c r="V3" s="60" t="n">
        <x:v>0.748</x:v>
      </x:c>
      <x:c r="W3" s="61" t="n">
        <x:v>1.41</x:v>
      </x:c>
      <x:c r="X3" s="62" t="n">
        <x:v>412</x:v>
      </x:c>
      <x:c r="Y3" s="63" t="str">
        <x:v>No</x:v>
      </x:c>
      <x:c r="Z3" s="60" t="n">
        <x:v>0.781</x:v>
      </x:c>
      <x:c r="AA3" s="60" t="n">
        <x:v>0.744</x:v>
      </x:c>
      <x:c r="AB3" s="63" t="str">
        <x:v>base-s2.png</x:v>
      </x:c>
      <x:c r="AC3" s="63" t="str">
        <x:v>Synthetic lab values; replace with actual run results.</x:v>
      </x:c>
      <x:c r="AD3" s="64" t="n">
        <x:f aca="0">P3-LN(7)</x:f>
        <x:v>-0.0019101490553132816</x:v>
      </x:c>
      <x:c r="AE3" s="64" t="n">
        <x:f aca="0">T3-S3</x:f>
        <x:v>0.128</x:v>
      </x:c>
      <x:c r="AF3" s="64" t="n">
        <x:f aca="0">V3-Seeds!$C$8</x:f>
        <x:v>0.003666666666666596</x:v>
      </x:c>
      <x:c r="AG3" s="65" t="str">
        <x:f aca="0">IF(ABS(AF3)&gt;Seeds!$C$10,"Có","Không")</x:f>
        <x:v>Không</x:v>
      </x:c>
    </x:row>
    <x:row r="4" ht="15" hidden="0">
      <x:c r="A4" s="63" t="str">
        <x:v>base-s3</x:v>
      </x:c>
      <x:c r="B4" s="63" t="str">
        <x:v>baseline</x:v>
      </x:c>
      <x:c r="C4" s="63" t="str">
        <x:v>Baseline M-base, seed 3</x:v>
      </x:c>
      <x:c r="D4" s="63" t="str">
        <x:v>CE</x:v>
      </x:c>
      <x:c r="E4" s="63" t="str">
        <x:v>SGD+momentum</x:v>
      </x:c>
      <x:c r="F4" s="60" t="n">
        <x:v>0.03</x:v>
      </x:c>
      <x:c r="G4" s="63" t="n">
        <x:v>0</x:v>
      </x:c>
      <x:c r="H4" s="63" t="n">
        <x:v>512</x:v>
      </x:c>
      <x:c r="I4" s="63" t="n">
        <x:v>20</x:v>
      </x:c>
      <x:c r="J4" s="63" t="str">
        <x:v>256-128</x:v>
      </x:c>
      <x:c r="K4" s="63" t="n">
        <x:v>0</x:v>
      </x:c>
      <x:c r="L4" s="63" t="str">
        <x:v>none</x:v>
      </x:c>
      <x:c r="M4" s="63" t="str">
        <x:v>fp32</x:v>
      </x:c>
      <x:c r="N4" s="63" t="str">
        <x:v>he</x:v>
      </x:c>
      <x:c r="O4" s="63" t="n">
        <x:v>3</x:v>
      </x:c>
      <x:c r="P4" s="60" t="n">
        <x:v>1.947</x:v>
      </x:c>
      <x:c r="Q4" s="60" t="n">
        <x:v>0.652</x:v>
      </x:c>
      <x:c r="R4" s="60" t="n">
        <x:v>17</x:v>
      </x:c>
      <x:c r="S4" s="60" t="n">
        <x:v>0.515</x:v>
      </x:c>
      <x:c r="T4" s="60" t="n">
        <x:v>0.648</x:v>
      </x:c>
      <x:c r="U4" s="60" t="n">
        <x:v>0.78</x:v>
      </x:c>
      <x:c r="V4" s="60" t="n">
        <x:v>0.741</x:v>
      </x:c>
      <x:c r="W4" s="61" t="n">
        <x:v>1.43</x:v>
      </x:c>
      <x:c r="X4" s="62" t="n">
        <x:v>412</x:v>
      </x:c>
      <x:c r="Y4" s="63" t="str">
        <x:v>No</x:v>
      </x:c>
      <x:c r="Z4" s="60" t="n">
        <x:v>0.776</x:v>
      </x:c>
      <x:c r="AA4" s="60" t="n">
        <x:v>0.736</x:v>
      </x:c>
      <x:c r="AB4" s="63" t="str">
        <x:v>base-s3.png</x:v>
      </x:c>
      <x:c r="AC4" s="63" t="str">
        <x:v>Synthetic lab values; replace with actual run results.</x:v>
      </x:c>
      <x:c r="AD4" s="64" t="n">
        <x:f aca="0">P4-LN(7)</x:f>
        <x:v>0.001089850944686832</x:v>
      </x:c>
      <x:c r="AE4" s="64" t="n">
        <x:f aca="0">T4-S4</x:f>
        <x:v>0.133</x:v>
      </x:c>
      <x:c r="AF4" s="64" t="n">
        <x:f aca="0">V4-Seeds!$C$8</x:f>
        <x:v>-0.0033333333333334103</x:v>
      </x:c>
      <x:c r="AG4" s="65" t="str">
        <x:f aca="0">IF(ABS(AF4)&gt;Seeds!$C$10,"Có","Không")</x:f>
        <x:v>Không</x:v>
      </x:c>
    </x:row>
    <x:row r="5" ht="15" hidden="0">
      <x:c r="A5" s="63" t="str">
        <x:v>loss-ce-to-mse</x:v>
      </x:c>
      <x:c r="B5" s="63" t="str">
        <x:v>loss</x:v>
      </x:c>
      <x:c r="C5" s="63" t="str">
        <x:v>Change loss from CE to MSE</x:v>
      </x:c>
      <x:c r="D5" s="63" t="str">
        <x:v>MSE</x:v>
      </x:c>
      <x:c r="E5" s="63" t="str">
        <x:v>SGD+momentum</x:v>
      </x:c>
      <x:c r="F5" s="60" t="n">
        <x:v>0.03</x:v>
      </x:c>
      <x:c r="G5" s="63" t="n">
        <x:v>0</x:v>
      </x:c>
      <x:c r="H5" s="63" t="n">
        <x:v>512</x:v>
      </x:c>
      <x:c r="I5" s="63" t="n">
        <x:v>20</x:v>
      </x:c>
      <x:c r="J5" s="63" t="str">
        <x:v>256-128</x:v>
      </x:c>
      <x:c r="K5" s="63" t="n">
        <x:v>0</x:v>
      </x:c>
      <x:c r="L5" s="63" t="str">
        <x:v>none</x:v>
      </x:c>
      <x:c r="M5" s="63" t="str">
        <x:v>fp32</x:v>
      </x:c>
      <x:c r="N5" s="63" t="str">
        <x:v>he</x:v>
      </x:c>
      <x:c r="O5" s="63" t="n">
        <x:v>4</x:v>
      </x:c>
      <x:c r="P5" s="60" t="n">
        <x:v>1.903</x:v>
      </x:c>
      <x:c r="Q5" s="60" t="n">
        <x:v>0.711</x:v>
      </x:c>
      <x:c r="R5" s="60" t="n">
        <x:v>20</x:v>
      </x:c>
      <x:c r="S5" s="60" t="n">
        <x:v>0.598</x:v>
      </x:c>
      <x:c r="T5" s="60" t="n">
        <x:v>0.707</x:v>
      </x:c>
      <x:c r="U5" s="60" t="n">
        <x:v>0.766</x:v>
      </x:c>
      <x:c r="V5" s="60" t="n">
        <x:v>0.726</x:v>
      </x:c>
      <x:c r="W5" s="61" t="n">
        <x:v>1.43</x:v>
      </x:c>
      <x:c r="X5" s="62" t="n">
        <x:v>412</x:v>
      </x:c>
      <x:c r="Y5" s="63" t="str">
        <x:v>No</x:v>
      </x:c>
      <x:c r="Z5" s="60" t="n">
        <x:v>0.759</x:v>
      </x:c>
      <x:c r="AA5" s="60" t="n">
        <x:v>0.718</x:v>
      </x:c>
      <x:c r="AB5" s="63" t="str">
        <x:v>loss-ce-to-mse.png</x:v>
      </x:c>
      <x:c r="AC5" s="63" t="str">
        <x:v>Synthetic controlled experiment; only loss changed.</x:v>
      </x:c>
      <x:c r="AD5" s="64" t="n">
        <x:f aca="0">P5-LN(7)</x:f>
        <x:v>-0.04291014905531321</x:v>
      </x:c>
      <x:c r="AE5" s="64" t="n">
        <x:f aca="0">T5-S5</x:f>
        <x:v>0.10899999999999999</x:v>
      </x:c>
      <x:c r="AF5" s="64" t="n">
        <x:f aca="0">V5-Seeds!$C$8</x:f>
        <x:v>-0.018333333333333424</x:v>
      </x:c>
      <x:c r="AG5" s="65" t="str">
        <x:f aca="0">IF(ABS(AF5)&gt;Seeds!$C$10,"Có","Không")</x:f>
        <x:v>Có</x:v>
      </x:c>
    </x:row>
    <x:row r="6" ht="15" hidden="0">
      <x:c r="A6" s="63" t="str">
        <x:v>opt-adam</x:v>
      </x:c>
      <x:c r="B6" s="63" t="str">
        <x:v>optimizer</x:v>
      </x:c>
      <x:c r="C6" s="63" t="str">
        <x:v>Change optimizer to Adam; keep baseline LR</x:v>
      </x:c>
      <x:c r="D6" s="63" t="str">
        <x:v>CE</x:v>
      </x:c>
      <x:c r="E6" s="63" t="str">
        <x:v>Adam</x:v>
      </x:c>
      <x:c r="F6" s="60" t="n">
        <x:v>0.03</x:v>
      </x:c>
      <x:c r="G6" s="63" t="n">
        <x:v>0</x:v>
      </x:c>
      <x:c r="H6" s="63" t="n">
        <x:v>512</x:v>
      </x:c>
      <x:c r="I6" s="63" t="n">
        <x:v>20</x:v>
      </x:c>
      <x:c r="J6" s="63" t="str">
        <x:v>256-128</x:v>
      </x:c>
      <x:c r="K6" s="63" t="n">
        <x:v>0</x:v>
      </x:c>
      <x:c r="L6" s="63" t="str">
        <x:v>none</x:v>
      </x:c>
      <x:c r="M6" s="63" t="str">
        <x:v>fp32</x:v>
      </x:c>
      <x:c r="N6" s="63" t="str">
        <x:v>he</x:v>
      </x:c>
      <x:c r="O6" s="63" t="n">
        <x:v>5</x:v>
      </x:c>
      <x:c r="P6" s="60" t="n">
        <x:v>1.945</x:v>
      </x:c>
      <x:c r="Q6" s="60" t="n">
        <x:v>0.631</x:v>
      </x:c>
      <x:c r="R6" s="60" t="n">
        <x:v>19</x:v>
      </x:c>
      <x:c r="S6" s="60" t="n">
        <x:v>0.487</x:v>
      </x:c>
      <x:c r="T6" s="60" t="n">
        <x:v>0.628</x:v>
      </x:c>
      <x:c r="U6" s="60" t="n">
        <x:v>0.79</x:v>
      </x:c>
      <x:c r="V6" s="60" t="n">
        <x:v>0.758</x:v>
      </x:c>
      <x:c r="W6" s="61" t="n">
        <x:v>1.51</x:v>
      </x:c>
      <x:c r="X6" s="62" t="n">
        <x:v>412</x:v>
      </x:c>
      <x:c r="Y6" s="63" t="str">
        <x:v>No</x:v>
      </x:c>
      <x:c r="Z6" s="60" t="n">
        <x:v>0.786</x:v>
      </x:c>
      <x:c r="AA6" s="60" t="n">
        <x:v>0.752</x:v>
      </x:c>
      <x:c r="AB6" s="63" t="str">
        <x:v>opt-adam.png</x:v>
      </x:c>
      <x:c r="AC6" s="63" t="str">
        <x:v>Synthetic controlled experiment; only optimizer changed.</x:v>
      </x:c>
      <x:c r="AD6" s="64" t="n">
        <x:f aca="0">P6-LN(7)</x:f>
        <x:v>-0.0009101490553131697</x:v>
      </x:c>
      <x:c r="AE6" s="64" t="n">
        <x:f aca="0">T6-S6</x:f>
        <x:v>0.14100000000000001</x:v>
      </x:c>
      <x:c r="AF6" s="64" t="n">
        <x:f aca="0">V6-Seeds!$C$8</x:f>
        <x:v>0.013666666666666605</x:v>
      </x:c>
      <x:c r="AG6" s="65" t="str">
        <x:f aca="0">IF(ABS(AF6)&gt;Seeds!$C$10,"Có","Không")</x:f>
        <x:v>Có</x:v>
      </x:c>
    </x:row>
    <x:row r="7" ht="15" hidden="0">
      <x:c r="A7" s="63" t="str">
        <x:v>hparam-lr05</x:v>
      </x:c>
      <x:c r="B7" s="63" t="str">
        <x:v>hparam</x:v>
      </x:c>
      <x:c r="C7" s="63" t="str">
        <x:v>Change learning rate from 0.03 to 0.05</x:v>
      </x:c>
      <x:c r="D7" s="63" t="str">
        <x:v>CE</x:v>
      </x:c>
      <x:c r="E7" s="63" t="str">
        <x:v>SGD+momentum</x:v>
      </x:c>
      <x:c r="F7" s="60" t="n">
        <x:v>0.05</x:v>
      </x:c>
      <x:c r="G7" s="63" t="n">
        <x:v>0</x:v>
      </x:c>
      <x:c r="H7" s="63" t="n">
        <x:v>512</x:v>
      </x:c>
      <x:c r="I7" s="63" t="n">
        <x:v>20</x:v>
      </x:c>
      <x:c r="J7" s="63" t="str">
        <x:v>256-128</x:v>
      </x:c>
      <x:c r="K7" s="63" t="n">
        <x:v>0</x:v>
      </x:c>
      <x:c r="L7" s="63" t="str">
        <x:v>none</x:v>
      </x:c>
      <x:c r="M7" s="63" t="str">
        <x:v>fp32</x:v>
      </x:c>
      <x:c r="N7" s="63" t="str">
        <x:v>he</x:v>
      </x:c>
      <x:c r="O7" s="63" t="n">
        <x:v>6</x:v>
      </x:c>
      <x:c r="P7" s="60" t="n">
        <x:v>1.946</x:v>
      </x:c>
      <x:c r="Q7" s="60" t="n">
        <x:v>0.637</x:v>
      </x:c>
      <x:c r="R7" s="60" t="n">
        <x:v>18</x:v>
      </x:c>
      <x:c r="S7" s="60" t="n">
        <x:v>0.494</x:v>
      </x:c>
      <x:c r="T7" s="60" t="n">
        <x:v>0.633</x:v>
      </x:c>
      <x:c r="U7" s="60" t="n">
        <x:v>0.788</x:v>
      </x:c>
      <x:c r="V7" s="60" t="n">
        <x:v>0.753</x:v>
      </x:c>
      <x:c r="W7" s="61" t="n">
        <x:v>1.42</x:v>
      </x:c>
      <x:c r="X7" s="62" t="n">
        <x:v>412</x:v>
      </x:c>
      <x:c r="Y7" s="63" t="str">
        <x:v>No</x:v>
      </x:c>
      <x:c r="Z7" s="60" t="n">
        <x:v>0.783</x:v>
      </x:c>
      <x:c r="AA7" s="60" t="n">
        <x:v>0.748</x:v>
      </x:c>
      <x:c r="AB7" s="63" t="str">
        <x:v>hparam-lr05.png</x:v>
      </x:c>
      <x:c r="AC7" s="63" t="str">
        <x:v>Synthetic controlled experiment; only learning rate changed.</x:v>
      </x:c>
      <x:c r="AD7" s="64" t="n">
        <x:f aca="0">P7-LN(7)</x:f>
        <x:v>0.00008985094468672017</x:v>
      </x:c>
      <x:c r="AE7" s="64" t="n">
        <x:f aca="0">T7-S7</x:f>
        <x:v>0.139</x:v>
      </x:c>
      <x:c r="AF7" s="64" t="n">
        <x:f aca="0">V7-Seeds!$C$8</x:f>
        <x:v>0.0086666666666666</x:v>
      </x:c>
      <x:c r="AG7" s="65" t="str">
        <x:f aca="0">IF(ABS(AF7)&gt;Seeds!$C$10,"Có","Không")</x:f>
        <x:v>Có</x:v>
      </x:c>
    </x:row>
    <x:row r="8" ht="15" hidden="0">
      <x:c r="A8" s="63" t="str">
        <x:v>drop-03</x:v>
      </x:c>
      <x:c r="B8" s="63" t="str">
        <x:v>dropout</x:v>
      </x:c>
      <x:c r="C8" s="63" t="str">
        <x:v>Add dropout 0.3</x:v>
      </x:c>
      <x:c r="D8" s="63" t="str">
        <x:v>CE</x:v>
      </x:c>
      <x:c r="E8" s="63" t="str">
        <x:v>SGD+momentum</x:v>
      </x:c>
      <x:c r="F8" s="60" t="n">
        <x:v>0.03</x:v>
      </x:c>
      <x:c r="G8" s="63" t="n">
        <x:v>0</x:v>
      </x:c>
      <x:c r="H8" s="63" t="n">
        <x:v>512</x:v>
      </x:c>
      <x:c r="I8" s="63" t="n">
        <x:v>20</x:v>
      </x:c>
      <x:c r="J8" s="63" t="str">
        <x:v>256-128</x:v>
      </x:c>
      <x:c r="K8" s="63" t="n">
        <x:v>0.3</x:v>
      </x:c>
      <x:c r="L8" s="63" t="str">
        <x:v>none</x:v>
      </x:c>
      <x:c r="M8" s="63" t="str">
        <x:v>fp32</x:v>
      </x:c>
      <x:c r="N8" s="63" t="str">
        <x:v>he</x:v>
      </x:c>
      <x:c r="O8" s="63" t="n">
        <x:v>7</x:v>
      </x:c>
      <x:c r="P8" s="60" t="n">
        <x:v>1.948</x:v>
      </x:c>
      <x:c r="Q8" s="60" t="n">
        <x:v>0.655</x:v>
      </x:c>
      <x:c r="R8" s="60" t="n">
        <x:v>20</x:v>
      </x:c>
      <x:c r="S8" s="60" t="n">
        <x:v>0.526</x:v>
      </x:c>
      <x:c r="T8" s="60" t="n">
        <x:v>0.651</x:v>
      </x:c>
      <x:c r="U8" s="60" t="n">
        <x:v>0.775</x:v>
      </x:c>
      <x:c r="V8" s="60" t="n">
        <x:v>0.739</x:v>
      </x:c>
      <x:c r="W8" s="61" t="n">
        <x:v>1.45</x:v>
      </x:c>
      <x:c r="X8" s="62" t="n">
        <x:v>412</x:v>
      </x:c>
      <x:c r="Y8" s="63" t="str">
        <x:v>No</x:v>
      </x:c>
      <x:c r="Z8" s="60" t="n">
        <x:v>0.77</x:v>
      </x:c>
      <x:c r="AA8" s="60" t="n">
        <x:v>0.731</x:v>
      </x:c>
      <x:c r="AB8" s="63" t="str">
        <x:v>drop-03.png</x:v>
      </x:c>
      <x:c r="AC8" s="63" t="str">
        <x:v>Synthetic controlled experiment; only dropout changed.</x:v>
      </x:c>
      <x:c r="AD8" s="64" t="n">
        <x:f aca="0">P8-LN(7)</x:f>
        <x:v>0.002089850944686722</x:v>
      </x:c>
      <x:c r="AE8" s="64" t="n">
        <x:f aca="0">T8-S8</x:f>
        <x:v>0.125</x:v>
      </x:c>
      <x:c r="AF8" s="64" t="n">
        <x:f aca="0">V8-Seeds!$C$8</x:f>
        <x:v>-0.005333333333333412</x:v>
      </x:c>
      <x:c r="AG8" s="65" t="str">
        <x:f aca="0">IF(ABS(AF8)&gt;Seeds!$C$10,"Có","Không")</x:f>
        <x:v>Không</x:v>
      </x:c>
    </x:row>
    <x:row r="9" ht="15" hidden="0">
      <x:c r="A9" s="63" t="str">
        <x:v>clip-1</x:v>
      </x:c>
      <x:c r="B9" s="63" t="str">
        <x:v>clipping</x:v>
      </x:c>
      <x:c r="C9" s="63" t="str">
        <x:v>Add gradient clipping at norm 1.0</x:v>
      </x:c>
      <x:c r="D9" s="63" t="str">
        <x:v>CE</x:v>
      </x:c>
      <x:c r="E9" s="63" t="str">
        <x:v>SGD+momentum</x:v>
      </x:c>
      <x:c r="F9" s="60" t="n">
        <x:v>0.03</x:v>
      </x:c>
      <x:c r="G9" s="63" t="n">
        <x:v>0</x:v>
      </x:c>
      <x:c r="H9" s="63" t="n">
        <x:v>512</x:v>
      </x:c>
      <x:c r="I9" s="63" t="n">
        <x:v>20</x:v>
      </x:c>
      <x:c r="J9" s="63" t="str">
        <x:v>256-128</x:v>
      </x:c>
      <x:c r="K9" s="63" t="n">
        <x:v>0</x:v>
      </x:c>
      <x:c r="L9" s="63" t="n">
        <x:v>1</x:v>
      </x:c>
      <x:c r="M9" s="63" t="str">
        <x:v>fp32</x:v>
      </x:c>
      <x:c r="N9" s="63" t="str">
        <x:v>he</x:v>
      </x:c>
      <x:c r="O9" s="63" t="n">
        <x:v>8</x:v>
      </x:c>
      <x:c r="P9" s="60" t="n">
        <x:v>1.946</x:v>
      </x:c>
      <x:c r="Q9" s="60" t="n">
        <x:v>0.642</x:v>
      </x:c>
      <x:c r="R9" s="60" t="n">
        <x:v>19</x:v>
      </x:c>
      <x:c r="S9" s="60" t="n">
        <x:v>0.51</x:v>
      </x:c>
      <x:c r="T9" s="60" t="n">
        <x:v>0.638</x:v>
      </x:c>
      <x:c r="U9" s="60" t="n">
        <x:v>0.784</x:v>
      </x:c>
      <x:c r="V9" s="60" t="n">
        <x:v>0.747</x:v>
      </x:c>
      <x:c r="W9" s="61" t="n">
        <x:v>1.44</x:v>
      </x:c>
      <x:c r="X9" s="62" t="n">
        <x:v>412</x:v>
      </x:c>
      <x:c r="Y9" s="63" t="str">
        <x:v>No</x:v>
      </x:c>
      <x:c r="Z9" s="60" t="n">
        <x:v>0.779</x:v>
      </x:c>
      <x:c r="AA9" s="60" t="n">
        <x:v>0.742</x:v>
      </x:c>
      <x:c r="AB9" s="63" t="str">
        <x:v>clip-1.png</x:v>
      </x:c>
      <x:c r="AC9" s="63" t="str">
        <x:v>Synthetic controlled experiment; only clipping changed.</x:v>
      </x:c>
      <x:c r="AD9" s="64" t="n">
        <x:f aca="0">P9-LN(7)</x:f>
        <x:v>0.00008985094468672017</x:v>
      </x:c>
      <x:c r="AE9" s="64" t="n">
        <x:f aca="0">T9-S9</x:f>
        <x:v>0.128</x:v>
      </x:c>
      <x:c r="AF9" s="64" t="n">
        <x:f aca="0">V9-Seeds!$C$8</x:f>
        <x:v>0.002666666666666595</x:v>
      </x:c>
      <x:c r="AG9" s="65" t="str">
        <x:f aca="0">IF(ABS(AF9)&gt;Seeds!$C$10,"Có","Không")</x:f>
        <x:v>Không</x:v>
      </x:c>
    </x:row>
    <x:row r="10" ht="15" hidden="0">
      <x:c r="A10" s="63" t="str">
        <x:v>amp-fp16</x:v>
      </x:c>
      <x:c r="B10" s="63" t="str">
        <x:v>amp</x:v>
      </x:c>
      <x:c r="C10" s="63" t="str">
        <x:v>Use mixed precision fp16</x:v>
      </x:c>
      <x:c r="D10" s="63" t="str">
        <x:v>CE</x:v>
      </x:c>
      <x:c r="E10" s="63" t="str">
        <x:v>SGD+momentum</x:v>
      </x:c>
      <x:c r="F10" s="60" t="n">
        <x:v>0.03</x:v>
      </x:c>
      <x:c r="G10" s="63" t="n">
        <x:v>0</x:v>
      </x:c>
      <x:c r="H10" s="63" t="n">
        <x:v>512</x:v>
      </x:c>
      <x:c r="I10" s="63" t="n">
        <x:v>20</x:v>
      </x:c>
      <x:c r="J10" s="63" t="str">
        <x:v>256-128</x:v>
      </x:c>
      <x:c r="K10" s="63" t="n">
        <x:v>0</x:v>
      </x:c>
      <x:c r="L10" s="63" t="str">
        <x:v>none</x:v>
      </x:c>
      <x:c r="M10" s="63" t="str">
        <x:v>fp16</x:v>
      </x:c>
      <x:c r="N10" s="63" t="str">
        <x:v>he</x:v>
      </x:c>
      <x:c r="O10" s="63" t="n">
        <x:v>9</x:v>
      </x:c>
      <x:c r="P10" s="60" t="n">
        <x:v>1.946</x:v>
      </x:c>
      <x:c r="Q10" s="60" t="n">
        <x:v>0.644</x:v>
      </x:c>
      <x:c r="R10" s="60" t="n">
        <x:v>18</x:v>
      </x:c>
      <x:c r="S10" s="60" t="n">
        <x:v>0.513</x:v>
      </x:c>
      <x:c r="T10" s="60" t="n">
        <x:v>0.64</x:v>
      </x:c>
      <x:c r="U10" s="60" t="n">
        <x:v>0.783</x:v>
      </x:c>
      <x:c r="V10" s="60" t="n">
        <x:v>0.745</x:v>
      </x:c>
      <x:c r="W10" s="61" t="n">
        <x:v>1.18</x:v>
      </x:c>
      <x:c r="X10" s="62" t="n">
        <x:v>356</x:v>
      </x:c>
      <x:c r="Y10" s="63" t="str">
        <x:v>No</x:v>
      </x:c>
      <x:c r="Z10" s="60" t="n">
        <x:v>0.777</x:v>
      </x:c>
      <x:c r="AA10" s="60" t="n">
        <x:v>0.74</x:v>
      </x:c>
      <x:c r="AB10" s="63" t="str">
        <x:v>amp-fp16.png</x:v>
      </x:c>
      <x:c r="AC10" s="63" t="str">
        <x:v>Synthetic controlled experiment; only precision changed.</x:v>
      </x:c>
      <x:c r="AD10" s="64" t="n">
        <x:f aca="0">P10-LN(7)</x:f>
        <x:v>0.00008985094468672017</x:v>
      </x:c>
      <x:c r="AE10" s="64" t="n">
        <x:f aca="0">T10-S10</x:f>
        <x:v>0.127</x:v>
      </x:c>
      <x:c r="AF10" s="64" t="n">
        <x:f aca="0">V10-Seeds!$C$8</x:f>
        <x:v>0.0006666666666665932</x:v>
      </x:c>
      <x:c r="AG10" s="65" t="str">
        <x:f aca="0">IF(ABS(AF10)&gt;Seeds!$C$10,"Có","Không")</x:f>
        <x:v>Không</x:v>
      </x:c>
    </x:row>
    <x:row r="11" ht="15" hidden="0">
      <x:c r="A11" s="63" t="str">
        <x:v>init-xavier</x:v>
      </x:c>
      <x:c r="B11" s="63" t="str">
        <x:v>init</x:v>
      </x:c>
      <x:c r="C11" s="63" t="str">
        <x:v>Change initialization from He to Xavier</x:v>
      </x:c>
      <x:c r="D11" s="63" t="str">
        <x:v>CE</x:v>
      </x:c>
      <x:c r="E11" s="63" t="str">
        <x:v>SGD+momentum</x:v>
      </x:c>
      <x:c r="F11" s="60" t="n">
        <x:v>0.03</x:v>
      </x:c>
      <x:c r="G11" s="63" t="n">
        <x:v>0</x:v>
      </x:c>
      <x:c r="H11" s="63" t="n">
        <x:v>512</x:v>
      </x:c>
      <x:c r="I11" s="63" t="n">
        <x:v>20</x:v>
      </x:c>
      <x:c r="J11" s="63" t="str">
        <x:v>256-128</x:v>
      </x:c>
      <x:c r="K11" s="63" t="n">
        <x:v>0</x:v>
      </x:c>
      <x:c r="L11" s="63" t="str">
        <x:v>none</x:v>
      </x:c>
      <x:c r="M11" s="63" t="str">
        <x:v>fp32</x:v>
      </x:c>
      <x:c r="N11" s="63" t="str">
        <x:v>xavier</x:v>
      </x:c>
      <x:c r="O11" s="63" t="n">
        <x:v>10</x:v>
      </x:c>
      <x:c r="P11" s="60" t="n">
        <x:v>1.948</x:v>
      </x:c>
      <x:c r="Q11" s="60" t="n">
        <x:v>0.66</x:v>
      </x:c>
      <x:c r="R11" s="60" t="n">
        <x:v>20</x:v>
      </x:c>
      <x:c r="S11" s="60" t="n">
        <x:v>0.532</x:v>
      </x:c>
      <x:c r="T11" s="60" t="n">
        <x:v>0.656</x:v>
      </x:c>
      <x:c r="U11" s="60" t="n">
        <x:v>0.778</x:v>
      </x:c>
      <x:c r="V11" s="60" t="n">
        <x:v>0.738</x:v>
      </x:c>
      <x:c r="W11" s="61" t="n">
        <x:v>1.41</x:v>
      </x:c>
      <x:c r="X11" s="62" t="n">
        <x:v>412</x:v>
      </x:c>
      <x:c r="Y11" s="63" t="str">
        <x:v>No</x:v>
      </x:c>
      <x:c r="Z11" s="60" t="n">
        <x:v>0.772</x:v>
      </x:c>
      <x:c r="AA11" s="60" t="n">
        <x:v>0.73</x:v>
      </x:c>
      <x:c r="AB11" s="63" t="str">
        <x:v>init-xavier.png</x:v>
      </x:c>
      <x:c r="AC11" s="63" t="str">
        <x:v>Synthetic controlled experiment; only initialization changed.</x:v>
      </x:c>
      <x:c r="AD11" s="64" t="n">
        <x:f aca="0">P11-LN(7)</x:f>
        <x:v>0.002089850944686722</x:v>
      </x:c>
      <x:c r="AE11" s="64" t="n">
        <x:f aca="0">T11-S11</x:f>
        <x:v>0.124</x:v>
      </x:c>
      <x:c r="AF11" s="64" t="n">
        <x:f aca="0">V11-Seeds!$C$8</x:f>
        <x:v>-0.006333333333333413</x:v>
      </x:c>
      <x:c r="AG11" s="65" t="str">
        <x:f aca="0">IF(ABS(AF11)&gt;Seeds!$C$10,"Có","Không")</x:f>
        <x:v>Không</x:v>
      </x:c>
    </x:row>
    <x:row r="12" ht="15" hidden="0">
      <x:c r="A12" s="63" t="str">
        <x:v>final</x:v>
      </x:c>
      <x:c r="B12" s="63" t="str">
        <x:v>final</x:v>
      </x:c>
      <x:c r="C12" s="63" t="str">
        <x:v>Final model selected from validation results</x:v>
      </x:c>
      <x:c r="D12" s="63" t="str">
        <x:v>CE</x:v>
      </x:c>
      <x:c r="E12" s="63" t="str">
        <x:v>Adam</x:v>
      </x:c>
      <x:c r="F12" s="60" t="n">
        <x:v>0.03</x:v>
      </x:c>
      <x:c r="G12" s="63" t="n">
        <x:v>0</x:v>
      </x:c>
      <x:c r="H12" s="63" t="n">
        <x:v>512</x:v>
      </x:c>
      <x:c r="I12" s="63" t="n">
        <x:v>20</x:v>
      </x:c>
      <x:c r="J12" s="63" t="str">
        <x:v>256-128</x:v>
      </x:c>
      <x:c r="K12" s="63" t="n">
        <x:v>0</x:v>
      </x:c>
      <x:c r="L12" s="63" t="str">
        <x:v>none</x:v>
      </x:c>
      <x:c r="M12" s="63" t="str">
        <x:v>fp32</x:v>
      </x:c>
      <x:c r="N12" s="63" t="str">
        <x:v>he</x:v>
      </x:c>
      <x:c r="O12" s="63" t="n">
        <x:v>5</x:v>
      </x:c>
      <x:c r="P12" s="60" t="n">
        <x:v>1.945</x:v>
      </x:c>
      <x:c r="Q12" s="60" t="n">
        <x:v>0.629</x:v>
      </x:c>
      <x:c r="R12" s="60" t="n">
        <x:v>19</x:v>
      </x:c>
      <x:c r="S12" s="60" t="n">
        <x:v>0.482</x:v>
      </x:c>
      <x:c r="T12" s="60" t="n">
        <x:v>0.626</x:v>
      </x:c>
      <x:c r="U12" s="60" t="n">
        <x:v>0.793</x:v>
      </x:c>
      <x:c r="V12" s="60" t="n">
        <x:v>0.761</x:v>
      </x:c>
      <x:c r="W12" s="61" t="n">
        <x:v>1.5</x:v>
      </x:c>
      <x:c r="X12" s="62" t="n">
        <x:v>412</x:v>
      </x:c>
      <x:c r="Y12" s="63" t="str">
        <x:v>No</x:v>
      </x:c>
      <x:c r="Z12" s="60" t="n">
        <x:v>0.789</x:v>
      </x:c>
      <x:c r="AA12" s="60" t="n">
        <x:v>0.755</x:v>
      </x:c>
      <x:c r="AB12" s="63" t="str">
        <x:v>final.png</x:v>
      </x:c>
      <x:c r="AC12" s="63" t="str">
        <x:v>Synthetic final run for the filled template; replace with actual final evaluation.</x:v>
      </x:c>
      <x:c r="AD12" s="64" t="n">
        <x:f aca="0">P12-LN(7)</x:f>
        <x:v>-0.0009101490553131697</x:v>
      </x:c>
      <x:c r="AE12" s="64" t="n">
        <x:f aca="0">T12-S12</x:f>
        <x:v>0.14400000000000002</x:v>
      </x:c>
      <x:c r="AF12" s="64" t="n">
        <x:f aca="0">V12-Seeds!$C$8</x:f>
        <x:v>0.016666666666666607</x:v>
      </x:c>
      <x:c r="AG12" s="65" t="str">
        <x:f aca="0">IF(ABS(AF12)&gt;Seeds!$C$10,"Có","Không")</x:f>
        <x:v>Có</x:v>
      </x:c>
    </x:row>
    <x:row r="13" ht="15" hidden="0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4"/>
      <x:c r="Q13" s="14"/>
      <x:c r="R13" s="13"/>
      <x:c r="S13" s="14"/>
      <x:c r="T13" s="14"/>
      <x:c r="U13" s="14"/>
      <x:c r="V13" s="14"/>
      <x:c r="W13" s="13"/>
      <x:c r="X13" s="13"/>
      <x:c r="Y13" s="13"/>
      <x:c r="Z13" s="14"/>
      <x:c r="AA13" s="14"/>
      <x:c r="AB13" s="13"/>
      <x:c r="AC13" s="13"/>
      <x:c r="AD13" s="15" t="str">
        <x:f aca="0">IF(P13="","",P13-LN(7))</x:f>
      </x:c>
      <x:c r="AE13" s="15" t="str">
        <x:f aca="0">IF(OR(T13="",S13=""),"",T13-S13)</x:f>
      </x:c>
      <x:c r="AF13" s="15" t="str">
        <x:f aca="0">IF(OR(V13="",Seeds!$C$8=""),"",V13-Seeds!$C$8)</x:f>
      </x:c>
      <x:c r="AG13" s="15" t="str">
        <x:f aca="0">IF(OR(AF13="",Seeds!$C$10=""),"",IF(ABS(AF13)&gt;Seeds!$C$10,"Có","Không"))</x:f>
      </x:c>
    </x:row>
    <x:row r="14" ht="15" hidden="0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4"/>
      <x:c r="Q14" s="14"/>
      <x:c r="R14" s="13"/>
      <x:c r="S14" s="14"/>
      <x:c r="T14" s="14"/>
      <x:c r="U14" s="14"/>
      <x:c r="V14" s="14"/>
      <x:c r="W14" s="13"/>
      <x:c r="X14" s="13"/>
      <x:c r="Y14" s="13"/>
      <x:c r="Z14" s="14"/>
      <x:c r="AA14" s="14"/>
      <x:c r="AB14" s="13"/>
      <x:c r="AC14" s="13"/>
      <x:c r="AD14" s="15" t="str">
        <x:f aca="0">IF(P14="","",P14-LN(7))</x:f>
      </x:c>
      <x:c r="AE14" s="15" t="str">
        <x:f aca="0">IF(OR(T14="",S14=""),"",T14-S14)</x:f>
      </x:c>
      <x:c r="AF14" s="15" t="str">
        <x:f aca="0">IF(OR(V14="",Seeds!$C$8=""),"",V14-Seeds!$C$8)</x:f>
      </x:c>
      <x:c r="AG14" s="15" t="str">
        <x:f aca="0">IF(OR(AF14="",Seeds!$C$10=""),"",IF(ABS(AF14)&gt;Seeds!$C$10,"Có","Không"))</x:f>
      </x:c>
    </x:row>
    <x:row r="15" ht="15" hidden="0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4"/>
      <x:c r="Q15" s="14"/>
      <x:c r="R15" s="13"/>
      <x:c r="S15" s="14"/>
      <x:c r="T15" s="14"/>
      <x:c r="U15" s="14"/>
      <x:c r="V15" s="14"/>
      <x:c r="W15" s="13"/>
      <x:c r="X15" s="13"/>
      <x:c r="Y15" s="13"/>
      <x:c r="Z15" s="14"/>
      <x:c r="AA15" s="14"/>
      <x:c r="AB15" s="13"/>
      <x:c r="AC15" s="13"/>
      <x:c r="AD15" s="15" t="str">
        <x:f aca="0">IF(P15="","",P15-LN(7))</x:f>
      </x:c>
      <x:c r="AE15" s="15" t="str">
        <x:f aca="0">IF(OR(T15="",S15=""),"",T15-S15)</x:f>
      </x:c>
      <x:c r="AF15" s="15" t="str">
        <x:f aca="0">IF(OR(V15="",Seeds!$C$8=""),"",V15-Seeds!$C$8)</x:f>
      </x:c>
      <x:c r="AG15" s="15" t="str">
        <x:f aca="0">IF(OR(AF15="",Seeds!$C$10=""),"",IF(ABS(AF15)&gt;Seeds!$C$10,"Có","Không"))</x:f>
      </x:c>
    </x:row>
    <x:row r="16" ht="15" hidden="0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4"/>
      <x:c r="Q16" s="14"/>
      <x:c r="R16" s="13"/>
      <x:c r="S16" s="14"/>
      <x:c r="T16" s="14"/>
      <x:c r="U16" s="14"/>
      <x:c r="V16" s="14"/>
      <x:c r="W16" s="13"/>
      <x:c r="X16" s="13"/>
      <x:c r="Y16" s="13"/>
      <x:c r="Z16" s="14"/>
      <x:c r="AA16" s="14"/>
      <x:c r="AB16" s="13"/>
      <x:c r="AC16" s="13"/>
      <x:c r="AD16" s="15" t="str">
        <x:f aca="0">IF(P16="","",P16-LN(7))</x:f>
      </x:c>
      <x:c r="AE16" s="15" t="str">
        <x:f aca="0">IF(OR(T16="",S16=""),"",T16-S16)</x:f>
      </x:c>
      <x:c r="AF16" s="15" t="str">
        <x:f aca="0">IF(OR(V16="",Seeds!$C$8=""),"",V16-Seeds!$C$8)</x:f>
      </x:c>
      <x:c r="AG16" s="15" t="str">
        <x:f aca="0">IF(OR(AF16="",Seeds!$C$10=""),"",IF(ABS(AF16)&gt;Seeds!$C$10,"Có","Không"))</x:f>
      </x:c>
    </x:row>
    <x:row r="17" ht="15" hidden="0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4"/>
      <x:c r="Q17" s="14"/>
      <x:c r="R17" s="13"/>
      <x:c r="S17" s="14"/>
      <x:c r="T17" s="14"/>
      <x:c r="U17" s="14"/>
      <x:c r="V17" s="14"/>
      <x:c r="W17" s="13"/>
      <x:c r="X17" s="13"/>
      <x:c r="Y17" s="13"/>
      <x:c r="Z17" s="14"/>
      <x:c r="AA17" s="14"/>
      <x:c r="AB17" s="13"/>
      <x:c r="AC17" s="13"/>
      <x:c r="AD17" s="15" t="str">
        <x:f aca="0">IF(P17="","",P17-LN(7))</x:f>
      </x:c>
      <x:c r="AE17" s="15" t="str">
        <x:f aca="0">IF(OR(T17="",S17=""),"",T17-S17)</x:f>
      </x:c>
      <x:c r="AF17" s="15" t="str">
        <x:f aca="0">IF(OR(V17="",Seeds!$C$8=""),"",V17-Seeds!$C$8)</x:f>
      </x:c>
      <x:c r="AG17" s="15" t="str">
        <x:f aca="0">IF(OR(AF17="",Seeds!$C$10=""),"",IF(ABS(AF17)&gt;Seeds!$C$10,"Có","Không"))</x:f>
      </x:c>
    </x:row>
    <x:row r="18" ht="15" hidden="0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4"/>
      <x:c r="Q18" s="14"/>
      <x:c r="R18" s="13"/>
      <x:c r="S18" s="14"/>
      <x:c r="T18" s="14"/>
      <x:c r="U18" s="14"/>
      <x:c r="V18" s="14"/>
      <x:c r="W18" s="13"/>
      <x:c r="X18" s="13"/>
      <x:c r="Y18" s="13"/>
      <x:c r="Z18" s="14"/>
      <x:c r="AA18" s="14"/>
      <x:c r="AB18" s="13"/>
      <x:c r="AC18" s="13"/>
      <x:c r="AD18" s="15" t="str">
        <x:f aca="0">IF(P18="","",P18-LN(7))</x:f>
      </x:c>
      <x:c r="AE18" s="15" t="str">
        <x:f aca="0">IF(OR(T18="",S18=""),"",T18-S18)</x:f>
      </x:c>
      <x:c r="AF18" s="15" t="str">
        <x:f aca="0">IF(OR(V18="",Seeds!$C$8=""),"",V18-Seeds!$C$8)</x:f>
      </x:c>
      <x:c r="AG18" s="15" t="str">
        <x:f aca="0">IF(OR(AF18="",Seeds!$C$10=""),"",IF(ABS(AF18)&gt;Seeds!$C$10,"Có","Không"))</x:f>
      </x:c>
    </x:row>
    <x:row r="19" ht="15" hidden="0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4"/>
      <x:c r="Q19" s="14"/>
      <x:c r="R19" s="13"/>
      <x:c r="S19" s="14"/>
      <x:c r="T19" s="14"/>
      <x:c r="U19" s="14"/>
      <x:c r="V19" s="14"/>
      <x:c r="W19" s="13"/>
      <x:c r="X19" s="13"/>
      <x:c r="Y19" s="13"/>
      <x:c r="Z19" s="14"/>
      <x:c r="AA19" s="14"/>
      <x:c r="AB19" s="13"/>
      <x:c r="AC19" s="13"/>
      <x:c r="AD19" s="15" t="str">
        <x:f aca="0">IF(P19="","",P19-LN(7))</x:f>
      </x:c>
      <x:c r="AE19" s="15" t="str">
        <x:f aca="0">IF(OR(T19="",S19=""),"",T19-S19)</x:f>
      </x:c>
      <x:c r="AF19" s="15" t="str">
        <x:f aca="0">IF(OR(V19="",Seeds!$C$8=""),"",V19-Seeds!$C$8)</x:f>
      </x:c>
      <x:c r="AG19" s="15" t="str">
        <x:f aca="0">IF(OR(AF19="",Seeds!$C$10=""),"",IF(ABS(AF19)&gt;Seeds!$C$10,"Có","Không"))</x:f>
      </x:c>
    </x:row>
    <x:row r="20" ht="15" hidden="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4"/>
      <x:c r="Q20" s="14"/>
      <x:c r="R20" s="13"/>
      <x:c r="S20" s="14"/>
      <x:c r="T20" s="14"/>
      <x:c r="U20" s="14"/>
      <x:c r="V20" s="14"/>
      <x:c r="W20" s="13"/>
      <x:c r="X20" s="13"/>
      <x:c r="Y20" s="13"/>
      <x:c r="Z20" s="14"/>
      <x:c r="AA20" s="14"/>
      <x:c r="AB20" s="13"/>
      <x:c r="AC20" s="13"/>
      <x:c r="AD20" s="15" t="str">
        <x:f aca="0">IF(P20="","",P20-LN(7))</x:f>
      </x:c>
      <x:c r="AE20" s="15" t="str">
        <x:f aca="0">IF(OR(T20="",S20=""),"",T20-S20)</x:f>
      </x:c>
      <x:c r="AF20" s="15" t="str">
        <x:f aca="0">IF(OR(V20="",Seeds!$C$8=""),"",V20-Seeds!$C$8)</x:f>
      </x:c>
      <x:c r="AG20" s="15" t="str">
        <x:f aca="0">IF(OR(AF20="",Seeds!$C$10=""),"",IF(ABS(AF20)&gt;Seeds!$C$10,"Có","Không"))</x:f>
      </x:c>
    </x:row>
    <x:row r="21" ht="15" hidden="0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4"/>
      <x:c r="Q21" s="14"/>
      <x:c r="R21" s="13"/>
      <x:c r="S21" s="14"/>
      <x:c r="T21" s="14"/>
      <x:c r="U21" s="14"/>
      <x:c r="V21" s="14"/>
      <x:c r="W21" s="13"/>
      <x:c r="X21" s="13"/>
      <x:c r="Y21" s="13"/>
      <x:c r="Z21" s="14"/>
      <x:c r="AA21" s="14"/>
      <x:c r="AB21" s="13"/>
      <x:c r="AC21" s="13"/>
      <x:c r="AD21" s="15" t="str">
        <x:f aca="0">IF(P21="","",P21-LN(7))</x:f>
      </x:c>
      <x:c r="AE21" s="15" t="str">
        <x:f aca="0">IF(OR(T21="",S21=""),"",T21-S21)</x:f>
      </x:c>
      <x:c r="AF21" s="15" t="str">
        <x:f aca="0">IF(OR(V21="",Seeds!$C$8=""),"",V21-Seeds!$C$8)</x:f>
      </x:c>
      <x:c r="AG21" s="15" t="str">
        <x:f aca="0">IF(OR(AF21="",Seeds!$C$10=""),"",IF(ABS(AF21)&gt;Seeds!$C$10,"Có","Không"))</x:f>
      </x:c>
    </x:row>
    <x:row r="22" ht="15" hidden="0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4"/>
      <x:c r="Q22" s="14"/>
      <x:c r="R22" s="13"/>
      <x:c r="S22" s="14"/>
      <x:c r="T22" s="14"/>
      <x:c r="U22" s="14"/>
      <x:c r="V22" s="14"/>
      <x:c r="W22" s="13"/>
      <x:c r="X22" s="13"/>
      <x:c r="Y22" s="13"/>
      <x:c r="Z22" s="14"/>
      <x:c r="AA22" s="14"/>
      <x:c r="AB22" s="13"/>
      <x:c r="AC22" s="13"/>
      <x:c r="AD22" s="15" t="str">
        <x:f aca="0">IF(P22="","",P22-LN(7))</x:f>
      </x:c>
      <x:c r="AE22" s="15" t="str">
        <x:f aca="0">IF(OR(T22="",S22=""),"",T22-S22)</x:f>
      </x:c>
      <x:c r="AF22" s="15" t="str">
        <x:f aca="0">IF(OR(V22="",Seeds!$C$8=""),"",V22-Seeds!$C$8)</x:f>
      </x:c>
      <x:c r="AG22" s="15" t="str">
        <x:f aca="0">IF(OR(AF22="",Seeds!$C$10=""),"",IF(ABS(AF22)&gt;Seeds!$C$10,"Có","Không"))</x:f>
      </x:c>
    </x:row>
    <x:row r="23" ht="15" hidden="0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4"/>
      <x:c r="Q23" s="14"/>
      <x:c r="R23" s="13"/>
      <x:c r="S23" s="14"/>
      <x:c r="T23" s="14"/>
      <x:c r="U23" s="14"/>
      <x:c r="V23" s="14"/>
      <x:c r="W23" s="13"/>
      <x:c r="X23" s="13"/>
      <x:c r="Y23" s="13"/>
      <x:c r="Z23" s="14"/>
      <x:c r="AA23" s="14"/>
      <x:c r="AB23" s="13"/>
      <x:c r="AC23" s="13"/>
      <x:c r="AD23" s="15" t="str">
        <x:f aca="0">IF(P23="","",P23-LN(7))</x:f>
      </x:c>
      <x:c r="AE23" s="15" t="str">
        <x:f aca="0">IF(OR(T23="",S23=""),"",T23-S23)</x:f>
      </x:c>
      <x:c r="AF23" s="15" t="str">
        <x:f aca="0">IF(OR(V23="",Seeds!$C$8=""),"",V23-Seeds!$C$8)</x:f>
      </x:c>
      <x:c r="AG23" s="15" t="str">
        <x:f aca="0">IF(OR(AF23="",Seeds!$C$10=""),"",IF(ABS(AF23)&gt;Seeds!$C$10,"Có","Không"))</x:f>
      </x:c>
    </x:row>
    <x:row r="24" ht="15" hidden="0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4"/>
      <x:c r="Q24" s="14"/>
      <x:c r="R24" s="13"/>
      <x:c r="S24" s="14"/>
      <x:c r="T24" s="14"/>
      <x:c r="U24" s="14"/>
      <x:c r="V24" s="14"/>
      <x:c r="W24" s="13"/>
      <x:c r="X24" s="13"/>
      <x:c r="Y24" s="13"/>
      <x:c r="Z24" s="14"/>
      <x:c r="AA24" s="14"/>
      <x:c r="AB24" s="13"/>
      <x:c r="AC24" s="13"/>
      <x:c r="AD24" s="15" t="str">
        <x:f aca="0">IF(P24="","",P24-LN(7))</x:f>
      </x:c>
      <x:c r="AE24" s="15" t="str">
        <x:f aca="0">IF(OR(T24="",S24=""),"",T24-S24)</x:f>
      </x:c>
      <x:c r="AF24" s="15" t="str">
        <x:f aca="0">IF(OR(V24="",Seeds!$C$8=""),"",V24-Seeds!$C$8)</x:f>
      </x:c>
      <x:c r="AG24" s="15" t="str">
        <x:f aca="0">IF(OR(AF24="",Seeds!$C$10=""),"",IF(ABS(AF24)&gt;Seeds!$C$10,"Có","Không"))</x:f>
      </x:c>
    </x:row>
    <x:row r="25" ht="15" hidden="0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4"/>
      <x:c r="Q25" s="14"/>
      <x:c r="R25" s="13"/>
      <x:c r="S25" s="14"/>
      <x:c r="T25" s="14"/>
      <x:c r="U25" s="14"/>
      <x:c r="V25" s="14"/>
      <x:c r="W25" s="13"/>
      <x:c r="X25" s="13"/>
      <x:c r="Y25" s="13"/>
      <x:c r="Z25" s="14"/>
      <x:c r="AA25" s="14"/>
      <x:c r="AB25" s="13"/>
      <x:c r="AC25" s="13"/>
      <x:c r="AD25" s="15" t="str">
        <x:f aca="0">IF(P25="","",P25-LN(7))</x:f>
      </x:c>
      <x:c r="AE25" s="15" t="str">
        <x:f aca="0">IF(OR(T25="",S25=""),"",T25-S25)</x:f>
      </x:c>
      <x:c r="AF25" s="15" t="str">
        <x:f aca="0">IF(OR(V25="",Seeds!$C$8=""),"",V25-Seeds!$C$8)</x:f>
      </x:c>
      <x:c r="AG25" s="15" t="str">
        <x:f aca="0">IF(OR(AF25="",Seeds!$C$10=""),"",IF(ABS(AF25)&gt;Seeds!$C$10,"Có","Không"))</x:f>
      </x:c>
    </x:row>
    <x:row r="26" ht="15" hidden="0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4"/>
      <x:c r="Q26" s="14"/>
      <x:c r="R26" s="13"/>
      <x:c r="S26" s="14"/>
      <x:c r="T26" s="14"/>
      <x:c r="U26" s="14"/>
      <x:c r="V26" s="14"/>
      <x:c r="W26" s="13"/>
      <x:c r="X26" s="13"/>
      <x:c r="Y26" s="13"/>
      <x:c r="Z26" s="14"/>
      <x:c r="AA26" s="14"/>
      <x:c r="AB26" s="13"/>
      <x:c r="AC26" s="13"/>
      <x:c r="AD26" s="15" t="str">
        <x:f aca="0">IF(P26="","",P26-LN(7))</x:f>
      </x:c>
      <x:c r="AE26" s="15" t="str">
        <x:f aca="0">IF(OR(T26="",S26=""),"",T26-S26)</x:f>
      </x:c>
      <x:c r="AF26" s="15" t="str">
        <x:f aca="0">IF(OR(V26="",Seeds!$C$8=""),"",V26-Seeds!$C$8)</x:f>
      </x:c>
      <x:c r="AG26" s="15" t="str">
        <x:f aca="0">IF(OR(AF26="",Seeds!$C$10=""),"",IF(ABS(AF26)&gt;Seeds!$C$10,"Có","Không"))</x:f>
      </x:c>
    </x:row>
    <x:row r="27" ht="15" hidden="0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4"/>
      <x:c r="Q27" s="14"/>
      <x:c r="R27" s="13"/>
      <x:c r="S27" s="14"/>
      <x:c r="T27" s="14"/>
      <x:c r="U27" s="14"/>
      <x:c r="V27" s="14"/>
      <x:c r="W27" s="13"/>
      <x:c r="X27" s="13"/>
      <x:c r="Y27" s="13"/>
      <x:c r="Z27" s="14"/>
      <x:c r="AA27" s="14"/>
      <x:c r="AB27" s="13"/>
      <x:c r="AC27" s="13"/>
      <x:c r="AD27" s="15" t="str">
        <x:f aca="0">IF(P27="","",P27-LN(7))</x:f>
      </x:c>
      <x:c r="AE27" s="15" t="str">
        <x:f aca="0">IF(OR(T27="",S27=""),"",T27-S27)</x:f>
      </x:c>
      <x:c r="AF27" s="15" t="str">
        <x:f aca="0">IF(OR(V27="",Seeds!$C$8=""),"",V27-Seeds!$C$8)</x:f>
      </x:c>
      <x:c r="AG27" s="15" t="str">
        <x:f aca="0">IF(OR(AF27="",Seeds!$C$10=""),"",IF(ABS(AF27)&gt;Seeds!$C$10,"Có","Không"))</x:f>
      </x:c>
    </x:row>
    <x:row r="28" ht="15" hidden="0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4"/>
      <x:c r="Q28" s="14"/>
      <x:c r="R28" s="13"/>
      <x:c r="S28" s="14"/>
      <x:c r="T28" s="14"/>
      <x:c r="U28" s="14"/>
      <x:c r="V28" s="14"/>
      <x:c r="W28" s="13"/>
      <x:c r="X28" s="13"/>
      <x:c r="Y28" s="13"/>
      <x:c r="Z28" s="14"/>
      <x:c r="AA28" s="14"/>
      <x:c r="AB28" s="13"/>
      <x:c r="AC28" s="13"/>
      <x:c r="AD28" s="15" t="str">
        <x:f aca="0">IF(P28="","",P28-LN(7))</x:f>
      </x:c>
      <x:c r="AE28" s="15" t="str">
        <x:f aca="0">IF(OR(T28="",S28=""),"",T28-S28)</x:f>
      </x:c>
      <x:c r="AF28" s="15" t="str">
        <x:f aca="0">IF(OR(V28="",Seeds!$C$8=""),"",V28-Seeds!$C$8)</x:f>
      </x:c>
      <x:c r="AG28" s="15" t="str">
        <x:f aca="0">IF(OR(AF28="",Seeds!$C$10=""),"",IF(ABS(AF28)&gt;Seeds!$C$10,"Có","Không"))</x:f>
      </x:c>
    </x:row>
    <x:row r="29" ht="15" hidden="0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4"/>
      <x:c r="Q29" s="14"/>
      <x:c r="R29" s="13"/>
      <x:c r="S29" s="14"/>
      <x:c r="T29" s="14"/>
      <x:c r="U29" s="14"/>
      <x:c r="V29" s="14"/>
      <x:c r="W29" s="13"/>
      <x:c r="X29" s="13"/>
      <x:c r="Y29" s="13"/>
      <x:c r="Z29" s="14"/>
      <x:c r="AA29" s="14"/>
      <x:c r="AB29" s="13"/>
      <x:c r="AC29" s="13"/>
      <x:c r="AD29" s="15" t="str">
        <x:f aca="0">IF(P29="","",P29-LN(7))</x:f>
      </x:c>
      <x:c r="AE29" s="15" t="str">
        <x:f aca="0">IF(OR(T29="",S29=""),"",T29-S29)</x:f>
      </x:c>
      <x:c r="AF29" s="15" t="str">
        <x:f aca="0">IF(OR(V29="",Seeds!$C$8=""),"",V29-Seeds!$C$8)</x:f>
      </x:c>
      <x:c r="AG29" s="15" t="str">
        <x:f aca="0">IF(OR(AF29="",Seeds!$C$10=""),"",IF(ABS(AF29)&gt;Seeds!$C$10,"Có","Không"))</x:f>
      </x:c>
    </x:row>
    <x:row r="30" ht="15" hidden="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4"/>
      <x:c r="Q30" s="14"/>
      <x:c r="R30" s="13"/>
      <x:c r="S30" s="14"/>
      <x:c r="T30" s="14"/>
      <x:c r="U30" s="14"/>
      <x:c r="V30" s="14"/>
      <x:c r="W30" s="13"/>
      <x:c r="X30" s="13"/>
      <x:c r="Y30" s="13"/>
      <x:c r="Z30" s="14"/>
      <x:c r="AA30" s="14"/>
      <x:c r="AB30" s="13"/>
      <x:c r="AC30" s="13"/>
      <x:c r="AD30" s="15" t="str">
        <x:f aca="0">IF(P30="","",P30-LN(7))</x:f>
      </x:c>
      <x:c r="AE30" s="15" t="str">
        <x:f aca="0">IF(OR(T30="",S30=""),"",T30-S30)</x:f>
      </x:c>
      <x:c r="AF30" s="15" t="str">
        <x:f aca="0">IF(OR(V30="",Seeds!$C$8=""),"",V30-Seeds!$C$8)</x:f>
      </x:c>
      <x:c r="AG30" s="15" t="str">
        <x:f aca="0">IF(OR(AF30="",Seeds!$C$10=""),"",IF(ABS(AF30)&gt;Seeds!$C$10,"Có","Không"))</x:f>
      </x:c>
    </x:row>
    <x:row r="31" ht="15" hidden="0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4"/>
      <x:c r="Q31" s="14"/>
      <x:c r="R31" s="13"/>
      <x:c r="S31" s="14"/>
      <x:c r="T31" s="14"/>
      <x:c r="U31" s="14"/>
      <x:c r="V31" s="14"/>
      <x:c r="W31" s="13"/>
      <x:c r="X31" s="13"/>
      <x:c r="Y31" s="13"/>
      <x:c r="Z31" s="14"/>
      <x:c r="AA31" s="14"/>
      <x:c r="AB31" s="13"/>
      <x:c r="AC31" s="13"/>
      <x:c r="AD31" s="15" t="str">
        <x:f aca="0">IF(P31="","",P31-LN(7))</x:f>
      </x:c>
      <x:c r="AE31" s="15" t="str">
        <x:f aca="0">IF(OR(T31="",S31=""),"",T31-S31)</x:f>
      </x:c>
      <x:c r="AF31" s="15" t="str">
        <x:f aca="0">IF(OR(V31="",Seeds!$C$8=""),"",V31-Seeds!$C$8)</x:f>
      </x:c>
      <x:c r="AG31" s="15" t="str">
        <x:f aca="0">IF(OR(AF31="",Seeds!$C$10=""),"",IF(ABS(AF31)&gt;Seeds!$C$10,"Có","Không"))</x:f>
      </x:c>
    </x:row>
    <x:row r="32" ht="15" hidden="0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4"/>
      <x:c r="Q32" s="14"/>
      <x:c r="R32" s="13"/>
      <x:c r="S32" s="14"/>
      <x:c r="T32" s="14"/>
      <x:c r="U32" s="14"/>
      <x:c r="V32" s="14"/>
      <x:c r="W32" s="13"/>
      <x:c r="X32" s="13"/>
      <x:c r="Y32" s="13"/>
      <x:c r="Z32" s="14"/>
      <x:c r="AA32" s="14"/>
      <x:c r="AB32" s="13"/>
      <x:c r="AC32" s="13"/>
      <x:c r="AD32" s="15" t="str">
        <x:f aca="0">IF(P32="","",P32-LN(7))</x:f>
      </x:c>
      <x:c r="AE32" s="15" t="str">
        <x:f aca="0">IF(OR(T32="",S32=""),"",T32-S32)</x:f>
      </x:c>
      <x:c r="AF32" s="15" t="str">
        <x:f aca="0">IF(OR(V32="",Seeds!$C$8=""),"",V32-Seeds!$C$8)</x:f>
      </x:c>
      <x:c r="AG32" s="15" t="str">
        <x:f aca="0">IF(OR(AF32="",Seeds!$C$10=""),"",IF(ABS(AF32)&gt;Seeds!$C$10,"Có","Không"))</x:f>
      </x:c>
    </x:row>
    <x:row r="33" ht="15" hidden="0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4"/>
      <x:c r="Q33" s="14"/>
      <x:c r="R33" s="13"/>
      <x:c r="S33" s="14"/>
      <x:c r="T33" s="14"/>
      <x:c r="U33" s="14"/>
      <x:c r="V33" s="14"/>
      <x:c r="W33" s="13"/>
      <x:c r="X33" s="13"/>
      <x:c r="Y33" s="13"/>
      <x:c r="Z33" s="14"/>
      <x:c r="AA33" s="14"/>
      <x:c r="AB33" s="13"/>
      <x:c r="AC33" s="13"/>
      <x:c r="AD33" s="15" t="str">
        <x:f aca="0">IF(P33="","",P33-LN(7))</x:f>
      </x:c>
      <x:c r="AE33" s="15" t="str">
        <x:f aca="0">IF(OR(T33="",S33=""),"",T33-S33)</x:f>
      </x:c>
      <x:c r="AF33" s="15" t="str">
        <x:f aca="0">IF(OR(V33="",Seeds!$C$8=""),"",V33-Seeds!$C$8)</x:f>
      </x:c>
      <x:c r="AG33" s="15" t="str">
        <x:f aca="0">IF(OR(AF33="",Seeds!$C$10=""),"",IF(ABS(AF33)&gt;Seeds!$C$10,"Có","Không"))</x:f>
      </x:c>
    </x:row>
    <x:row r="34" ht="15" hidden="0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4"/>
      <x:c r="Q34" s="14"/>
      <x:c r="R34" s="13"/>
      <x:c r="S34" s="14"/>
      <x:c r="T34" s="14"/>
      <x:c r="U34" s="14"/>
      <x:c r="V34" s="14"/>
      <x:c r="W34" s="13"/>
      <x:c r="X34" s="13"/>
      <x:c r="Y34" s="13"/>
      <x:c r="Z34" s="14"/>
      <x:c r="AA34" s="14"/>
      <x:c r="AB34" s="13"/>
      <x:c r="AC34" s="13"/>
      <x:c r="AD34" s="15" t="str">
        <x:f aca="0">IF(P34="","",P34-LN(7))</x:f>
      </x:c>
      <x:c r="AE34" s="15" t="str">
        <x:f aca="0">IF(OR(T34="",S34=""),"",T34-S34)</x:f>
      </x:c>
      <x:c r="AF34" s="15" t="str">
        <x:f aca="0">IF(OR(V34="",Seeds!$C$8=""),"",V34-Seeds!$C$8)</x:f>
      </x:c>
      <x:c r="AG34" s="15" t="str">
        <x:f aca="0">IF(OR(AF34="",Seeds!$C$10=""),"",IF(ABS(AF34)&gt;Seeds!$C$10,"Có","Không"))</x:f>
      </x:c>
    </x:row>
    <x:row r="35" ht="15" hidden="0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4"/>
      <x:c r="Q35" s="14"/>
      <x:c r="R35" s="13"/>
      <x:c r="S35" s="14"/>
      <x:c r="T35" s="14"/>
      <x:c r="U35" s="14"/>
      <x:c r="V35" s="14"/>
      <x:c r="W35" s="13"/>
      <x:c r="X35" s="13"/>
      <x:c r="Y35" s="13"/>
      <x:c r="Z35" s="14"/>
      <x:c r="AA35" s="14"/>
      <x:c r="AB35" s="13"/>
      <x:c r="AC35" s="13"/>
      <x:c r="AD35" s="15" t="str">
        <x:f aca="0">IF(P35="","",P35-LN(7))</x:f>
      </x:c>
      <x:c r="AE35" s="15" t="str">
        <x:f aca="0">IF(OR(T35="",S35=""),"",T35-S35)</x:f>
      </x:c>
      <x:c r="AF35" s="15" t="str">
        <x:f aca="0">IF(OR(V35="",Seeds!$C$8=""),"",V35-Seeds!$C$8)</x:f>
      </x:c>
      <x:c r="AG35" s="15" t="str">
        <x:f aca="0">IF(OR(AF35="",Seeds!$C$10=""),"",IF(ABS(AF35)&gt;Seeds!$C$10,"Có","Không"))</x:f>
      </x:c>
    </x:row>
    <x:row r="36" ht="15" hidden="0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4"/>
      <x:c r="Q36" s="14"/>
      <x:c r="R36" s="13"/>
      <x:c r="S36" s="14"/>
      <x:c r="T36" s="14"/>
      <x:c r="U36" s="14"/>
      <x:c r="V36" s="14"/>
      <x:c r="W36" s="13"/>
      <x:c r="X36" s="13"/>
      <x:c r="Y36" s="13"/>
      <x:c r="Z36" s="14"/>
      <x:c r="AA36" s="14"/>
      <x:c r="AB36" s="13"/>
      <x:c r="AC36" s="13"/>
      <x:c r="AD36" s="15" t="str">
        <x:f aca="0">IF(P36="","",P36-LN(7))</x:f>
      </x:c>
      <x:c r="AE36" s="15" t="str">
        <x:f aca="0">IF(OR(T36="",S36=""),"",T36-S36)</x:f>
      </x:c>
      <x:c r="AF36" s="15" t="str">
        <x:f aca="0">IF(OR(V36="",Seeds!$C$8=""),"",V36-Seeds!$C$8)</x:f>
      </x:c>
      <x:c r="AG36" s="15" t="str">
        <x:f aca="0">IF(OR(AF36="",Seeds!$C$10=""),"",IF(ABS(AF36)&gt;Seeds!$C$10,"Có","Không"))</x:f>
      </x:c>
    </x:row>
    <x:row r="37" ht="15" hidden="0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4"/>
      <x:c r="Q37" s="14"/>
      <x:c r="R37" s="13"/>
      <x:c r="S37" s="14"/>
      <x:c r="T37" s="14"/>
      <x:c r="U37" s="14"/>
      <x:c r="V37" s="14"/>
      <x:c r="W37" s="13"/>
      <x:c r="X37" s="13"/>
      <x:c r="Y37" s="13"/>
      <x:c r="Z37" s="14"/>
      <x:c r="AA37" s="14"/>
      <x:c r="AB37" s="13"/>
      <x:c r="AC37" s="13"/>
      <x:c r="AD37" s="15" t="str">
        <x:f aca="0">IF(P37="","",P37-LN(7))</x:f>
      </x:c>
      <x:c r="AE37" s="15" t="str">
        <x:f aca="0">IF(OR(T37="",S37=""),"",T37-S37)</x:f>
      </x:c>
      <x:c r="AF37" s="15" t="str">
        <x:f aca="0">IF(OR(V37="",Seeds!$C$8=""),"",V37-Seeds!$C$8)</x:f>
      </x:c>
      <x:c r="AG37" s="15" t="str">
        <x:f aca="0">IF(OR(AF37="",Seeds!$C$10=""),"",IF(ABS(AF37)&gt;Seeds!$C$10,"Có","Không"))</x:f>
      </x:c>
    </x:row>
    <x:row r="38" ht="15" hidden="0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4"/>
      <x:c r="Q38" s="14"/>
      <x:c r="R38" s="13"/>
      <x:c r="S38" s="14"/>
      <x:c r="T38" s="14"/>
      <x:c r="U38" s="14"/>
      <x:c r="V38" s="14"/>
      <x:c r="W38" s="13"/>
      <x:c r="X38" s="13"/>
      <x:c r="Y38" s="13"/>
      <x:c r="Z38" s="14"/>
      <x:c r="AA38" s="14"/>
      <x:c r="AB38" s="13"/>
      <x:c r="AC38" s="13"/>
      <x:c r="AD38" s="15" t="str">
        <x:f aca="0">IF(P38="","",P38-LN(7))</x:f>
      </x:c>
      <x:c r="AE38" s="15" t="str">
        <x:f aca="0">IF(OR(T38="",S38=""),"",T38-S38)</x:f>
      </x:c>
      <x:c r="AF38" s="15" t="str">
        <x:f aca="0">IF(OR(V38="",Seeds!$C$8=""),"",V38-Seeds!$C$8)</x:f>
      </x:c>
      <x:c r="AG38" s="15" t="str">
        <x:f aca="0">IF(OR(AF38="",Seeds!$C$10=""),"",IF(ABS(AF38)&gt;Seeds!$C$10,"Có","Không"))</x:f>
      </x:c>
    </x:row>
    <x:row r="39" ht="15" hidden="0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4"/>
      <x:c r="Q39" s="14"/>
      <x:c r="R39" s="13"/>
      <x:c r="S39" s="14"/>
      <x:c r="T39" s="14"/>
      <x:c r="U39" s="14"/>
      <x:c r="V39" s="14"/>
      <x:c r="W39" s="13"/>
      <x:c r="X39" s="13"/>
      <x:c r="Y39" s="13"/>
      <x:c r="Z39" s="14"/>
      <x:c r="AA39" s="14"/>
      <x:c r="AB39" s="13"/>
      <x:c r="AC39" s="13"/>
      <x:c r="AD39" s="15" t="str">
        <x:f aca="0">IF(P39="","",P39-LN(7))</x:f>
      </x:c>
      <x:c r="AE39" s="15" t="str">
        <x:f aca="0">IF(OR(T39="",S39=""),"",T39-S39)</x:f>
      </x:c>
      <x:c r="AF39" s="15" t="str">
        <x:f aca="0">IF(OR(V39="",Seeds!$C$8=""),"",V39-Seeds!$C$8)</x:f>
      </x:c>
      <x:c r="AG39" s="15" t="str">
        <x:f aca="0">IF(OR(AF39="",Seeds!$C$10=""),"",IF(ABS(AF39)&gt;Seeds!$C$10,"Có","Không"))</x:f>
      </x:c>
    </x:row>
    <x:row r="40" ht="15" hidden="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4"/>
      <x:c r="Q40" s="14"/>
      <x:c r="R40" s="13"/>
      <x:c r="S40" s="14"/>
      <x:c r="T40" s="14"/>
      <x:c r="U40" s="14"/>
      <x:c r="V40" s="14"/>
      <x:c r="W40" s="13"/>
      <x:c r="X40" s="13"/>
      <x:c r="Y40" s="13"/>
      <x:c r="Z40" s="14"/>
      <x:c r="AA40" s="14"/>
      <x:c r="AB40" s="13"/>
      <x:c r="AC40" s="13"/>
      <x:c r="AD40" s="15" t="str">
        <x:f aca="0">IF(P40="","",P40-LN(7))</x:f>
      </x:c>
      <x:c r="AE40" s="15" t="str">
        <x:f aca="0">IF(OR(T40="",S40=""),"",T40-S40)</x:f>
      </x:c>
      <x:c r="AF40" s="15" t="str">
        <x:f aca="0">IF(OR(V40="",Seeds!$C$8=""),"",V40-Seeds!$C$8)</x:f>
      </x:c>
      <x:c r="AG40" s="15" t="str">
        <x:f aca="0">IF(OR(AF40="",Seeds!$C$10=""),"",IF(ABS(AF40)&gt;Seeds!$C$10,"Có","Không"))</x:f>
      </x:c>
    </x:row>
    <x:row r="41" ht="15" hidden="0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4"/>
      <x:c r="Q41" s="14"/>
      <x:c r="R41" s="13"/>
      <x:c r="S41" s="14"/>
      <x:c r="T41" s="14"/>
      <x:c r="U41" s="14"/>
      <x:c r="V41" s="14"/>
      <x:c r="W41" s="13"/>
      <x:c r="X41" s="13"/>
      <x:c r="Y41" s="13"/>
      <x:c r="Z41" s="14"/>
      <x:c r="AA41" s="14"/>
      <x:c r="AB41" s="13"/>
      <x:c r="AC41" s="13"/>
      <x:c r="AD41" s="15" t="str">
        <x:f aca="0">IF(P41="","",P41-LN(7))</x:f>
      </x:c>
      <x:c r="AE41" s="15" t="str">
        <x:f aca="0">IF(OR(T41="",S41=""),"",T41-S41)</x:f>
      </x:c>
      <x:c r="AF41" s="15" t="str">
        <x:f aca="0">IF(OR(V41="",Seeds!$C$8=""),"",V41-Seeds!$C$8)</x:f>
      </x:c>
      <x:c r="AG41" s="15" t="str">
        <x:f aca="0">IF(OR(AF41="",Seeds!$C$10=""),"",IF(ABS(AF41)&gt;Seeds!$C$10,"Có","Không"))</x:f>
      </x:c>
    </x:row>
    <x:row r="42" ht="15" hidden="0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4"/>
      <x:c r="Q42" s="14"/>
      <x:c r="R42" s="13"/>
      <x:c r="S42" s="14"/>
      <x:c r="T42" s="14"/>
      <x:c r="U42" s="14"/>
      <x:c r="V42" s="14"/>
      <x:c r="W42" s="13"/>
      <x:c r="X42" s="13"/>
      <x:c r="Y42" s="13"/>
      <x:c r="Z42" s="14"/>
      <x:c r="AA42" s="14"/>
      <x:c r="AB42" s="13"/>
      <x:c r="AC42" s="13"/>
      <x:c r="AD42" s="15" t="str">
        <x:f aca="0">IF(P42="","",P42-LN(7))</x:f>
      </x:c>
      <x:c r="AE42" s="15" t="str">
        <x:f aca="0">IF(OR(T42="",S42=""),"",T42-S42)</x:f>
      </x:c>
      <x:c r="AF42" s="15" t="str">
        <x:f aca="0">IF(OR(V42="",Seeds!$C$8=""),"",V42-Seeds!$C$8)</x:f>
      </x:c>
      <x:c r="AG42" s="15" t="str">
        <x:f aca="0">IF(OR(AF42="",Seeds!$C$10=""),"",IF(ABS(AF42)&gt;Seeds!$C$10,"Có","Không"))</x:f>
      </x:c>
    </x:row>
    <x:row r="43" ht="15" hidden="0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4"/>
      <x:c r="Q43" s="14"/>
      <x:c r="R43" s="13"/>
      <x:c r="S43" s="14"/>
      <x:c r="T43" s="14"/>
      <x:c r="U43" s="14"/>
      <x:c r="V43" s="14"/>
      <x:c r="W43" s="13"/>
      <x:c r="X43" s="13"/>
      <x:c r="Y43" s="13"/>
      <x:c r="Z43" s="14"/>
      <x:c r="AA43" s="14"/>
      <x:c r="AB43" s="13"/>
      <x:c r="AC43" s="13"/>
      <x:c r="AD43" s="15" t="str">
        <x:f aca="0">IF(P43="","",P43-LN(7))</x:f>
      </x:c>
      <x:c r="AE43" s="15" t="str">
        <x:f aca="0">IF(OR(T43="",S43=""),"",T43-S43)</x:f>
      </x:c>
      <x:c r="AF43" s="15" t="str">
        <x:f aca="0">IF(OR(V43="",Seeds!$C$8=""),"",V43-Seeds!$C$8)</x:f>
      </x:c>
      <x:c r="AG43" s="15" t="str">
        <x:f aca="0">IF(OR(AF43="",Seeds!$C$10=""),"",IF(ABS(AF43)&gt;Seeds!$C$10,"Có","Không"))</x:f>
      </x:c>
    </x:row>
    <x:row r="44" ht="15" hidden="0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4"/>
      <x:c r="Q44" s="14"/>
      <x:c r="R44" s="13"/>
      <x:c r="S44" s="14"/>
      <x:c r="T44" s="14"/>
      <x:c r="U44" s="14"/>
      <x:c r="V44" s="14"/>
      <x:c r="W44" s="13"/>
      <x:c r="X44" s="13"/>
      <x:c r="Y44" s="13"/>
      <x:c r="Z44" s="14"/>
      <x:c r="AA44" s="14"/>
      <x:c r="AB44" s="13"/>
      <x:c r="AC44" s="13"/>
      <x:c r="AD44" s="15" t="str">
        <x:f aca="0">IF(P44="","",P44-LN(7))</x:f>
      </x:c>
      <x:c r="AE44" s="15" t="str">
        <x:f aca="0">IF(OR(T44="",S44=""),"",T44-S44)</x:f>
      </x:c>
      <x:c r="AF44" s="15" t="str">
        <x:f aca="0">IF(OR(V44="",Seeds!$C$8=""),"",V44-Seeds!$C$8)</x:f>
      </x:c>
      <x:c r="AG44" s="15" t="str">
        <x:f aca="0">IF(OR(AF44="",Seeds!$C$10=""),"",IF(ABS(AF44)&gt;Seeds!$C$10,"Có","Không"))</x:f>
      </x:c>
    </x:row>
    <x:row r="45" ht="15" hidden="0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4"/>
      <x:c r="Q45" s="14"/>
      <x:c r="R45" s="13"/>
      <x:c r="S45" s="14"/>
      <x:c r="T45" s="14"/>
      <x:c r="U45" s="14"/>
      <x:c r="V45" s="14"/>
      <x:c r="W45" s="13"/>
      <x:c r="X45" s="13"/>
      <x:c r="Y45" s="13"/>
      <x:c r="Z45" s="14"/>
      <x:c r="AA45" s="14"/>
      <x:c r="AB45" s="13"/>
      <x:c r="AC45" s="13"/>
      <x:c r="AD45" s="15" t="str">
        <x:f aca="0">IF(P45="","",P45-LN(7))</x:f>
      </x:c>
      <x:c r="AE45" s="15" t="str">
        <x:f aca="0">IF(OR(T45="",S45=""),"",T45-S45)</x:f>
      </x:c>
      <x:c r="AF45" s="15" t="str">
        <x:f aca="0">IF(OR(V45="",Seeds!$C$8=""),"",V45-Seeds!$C$8)</x:f>
      </x:c>
      <x:c r="AG45" s="15" t="str">
        <x:f aca="0">IF(OR(AF45="",Seeds!$C$10=""),"",IF(ABS(AF45)&gt;Seeds!$C$10,"Có","Không"))</x:f>
      </x:c>
    </x:row>
    <x:row r="46" ht="15" hidden="0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4"/>
      <x:c r="Q46" s="14"/>
      <x:c r="R46" s="13"/>
      <x:c r="S46" s="14"/>
      <x:c r="T46" s="14"/>
      <x:c r="U46" s="14"/>
      <x:c r="V46" s="14"/>
      <x:c r="W46" s="13"/>
      <x:c r="X46" s="13"/>
      <x:c r="Y46" s="13"/>
      <x:c r="Z46" s="14"/>
      <x:c r="AA46" s="14"/>
      <x:c r="AB46" s="13"/>
      <x:c r="AC46" s="13"/>
      <x:c r="AD46" s="15" t="str">
        <x:f aca="0">IF(P46="","",P46-LN(7))</x:f>
      </x:c>
      <x:c r="AE46" s="15" t="str">
        <x:f aca="0">IF(OR(T46="",S46=""),"",T46-S46)</x:f>
      </x:c>
      <x:c r="AF46" s="15" t="str">
        <x:f aca="0">IF(OR(V46="",Seeds!$C$8=""),"",V46-Seeds!$C$8)</x:f>
      </x:c>
      <x:c r="AG46" s="15" t="str">
        <x:f aca="0">IF(OR(AF46="",Seeds!$C$10=""),"",IF(ABS(AF46)&gt;Seeds!$C$10,"Có","Không"))</x:f>
      </x:c>
    </x:row>
    <x:row r="47" ht="15" hidden="0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4"/>
      <x:c r="Q47" s="14"/>
      <x:c r="R47" s="13"/>
      <x:c r="S47" s="14"/>
      <x:c r="T47" s="14"/>
      <x:c r="U47" s="14"/>
      <x:c r="V47" s="14"/>
      <x:c r="W47" s="13"/>
      <x:c r="X47" s="13"/>
      <x:c r="Y47" s="13"/>
      <x:c r="Z47" s="14"/>
      <x:c r="AA47" s="14"/>
      <x:c r="AB47" s="13"/>
      <x:c r="AC47" s="13"/>
      <x:c r="AD47" s="15" t="str">
        <x:f aca="0">IF(P47="","",P47-LN(7))</x:f>
      </x:c>
      <x:c r="AE47" s="15" t="str">
        <x:f aca="0">IF(OR(T47="",S47=""),"",T47-S47)</x:f>
      </x:c>
      <x:c r="AF47" s="15" t="str">
        <x:f aca="0">IF(OR(V47="",Seeds!$C$8=""),"",V47-Seeds!$C$8)</x:f>
      </x:c>
      <x:c r="AG47" s="15" t="str">
        <x:f aca="0">IF(OR(AF47="",Seeds!$C$10=""),"",IF(ABS(AF47)&gt;Seeds!$C$10,"Có","Không"))</x:f>
      </x:c>
    </x:row>
    <x:row r="48" ht="15" hidden="0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4"/>
      <x:c r="Q48" s="14"/>
      <x:c r="R48" s="13"/>
      <x:c r="S48" s="14"/>
      <x:c r="T48" s="14"/>
      <x:c r="U48" s="14"/>
      <x:c r="V48" s="14"/>
      <x:c r="W48" s="13"/>
      <x:c r="X48" s="13"/>
      <x:c r="Y48" s="13"/>
      <x:c r="Z48" s="14"/>
      <x:c r="AA48" s="14"/>
      <x:c r="AB48" s="13"/>
      <x:c r="AC48" s="13"/>
      <x:c r="AD48" s="15" t="str">
        <x:f aca="0">IF(P48="","",P48-LN(7))</x:f>
      </x:c>
      <x:c r="AE48" s="15" t="str">
        <x:f aca="0">IF(OR(T48="",S48=""),"",T48-S48)</x:f>
      </x:c>
      <x:c r="AF48" s="15" t="str">
        <x:f aca="0">IF(OR(V48="",Seeds!$C$8=""),"",V48-Seeds!$C$8)</x:f>
      </x:c>
      <x:c r="AG48" s="15" t="str">
        <x:f aca="0">IF(OR(AF48="",Seeds!$C$10=""),"",IF(ABS(AF48)&gt;Seeds!$C$10,"Có","Không"))</x:f>
      </x:c>
    </x:row>
    <x:row r="49" ht="15" hidden="0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4"/>
      <x:c r="Q49" s="14"/>
      <x:c r="R49" s="13"/>
      <x:c r="S49" s="14"/>
      <x:c r="T49" s="14"/>
      <x:c r="U49" s="14"/>
      <x:c r="V49" s="14"/>
      <x:c r="W49" s="13"/>
      <x:c r="X49" s="13"/>
      <x:c r="Y49" s="13"/>
      <x:c r="Z49" s="14"/>
      <x:c r="AA49" s="14"/>
      <x:c r="AB49" s="13"/>
      <x:c r="AC49" s="13"/>
      <x:c r="AD49" s="15" t="str">
        <x:f aca="0">IF(P49="","",P49-LN(7))</x:f>
      </x:c>
      <x:c r="AE49" s="15" t="str">
        <x:f aca="0">IF(OR(T49="",S49=""),"",T49-S49)</x:f>
      </x:c>
      <x:c r="AF49" s="15" t="str">
        <x:f aca="0">IF(OR(V49="",Seeds!$C$8=""),"",V49-Seeds!$C$8)</x:f>
      </x:c>
      <x:c r="AG49" s="15" t="str">
        <x:f aca="0">IF(OR(AF49="",Seeds!$C$10=""),"",IF(ABS(AF49)&gt;Seeds!$C$10,"Có","Không"))</x:f>
      </x:c>
    </x:row>
    <x:row r="50" ht="15" hidden="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4"/>
      <x:c r="Q50" s="14"/>
      <x:c r="R50" s="13"/>
      <x:c r="S50" s="14"/>
      <x:c r="T50" s="14"/>
      <x:c r="U50" s="14"/>
      <x:c r="V50" s="14"/>
      <x:c r="W50" s="13"/>
      <x:c r="X50" s="13"/>
      <x:c r="Y50" s="13"/>
      <x:c r="Z50" s="14"/>
      <x:c r="AA50" s="14"/>
      <x:c r="AB50" s="13"/>
      <x:c r="AC50" s="13"/>
      <x:c r="AD50" s="15" t="str">
        <x:f aca="0">IF(P50="","",P50-LN(7))</x:f>
      </x:c>
      <x:c r="AE50" s="15" t="str">
        <x:f aca="0">IF(OR(T50="",S50=""),"",T50-S50)</x:f>
      </x:c>
      <x:c r="AF50" s="15" t="str">
        <x:f aca="0">IF(OR(V50="",Seeds!$C$8=""),"",V50-Seeds!$C$8)</x:f>
      </x:c>
      <x:c r="AG50" s="15" t="str">
        <x:f aca="0">IF(OR(AF50="",Seeds!$C$10=""),"",IF(ABS(AF50)&gt;Seeds!$C$10,"Có","Không"))</x:f>
      </x:c>
    </x:row>
    <x:row r="51" ht="15" hidden="0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4"/>
      <x:c r="Q51" s="14"/>
      <x:c r="R51" s="13"/>
      <x:c r="S51" s="14"/>
      <x:c r="T51" s="14"/>
      <x:c r="U51" s="14"/>
      <x:c r="V51" s="14"/>
      <x:c r="W51" s="13"/>
      <x:c r="X51" s="13"/>
      <x:c r="Y51" s="13"/>
      <x:c r="Z51" s="14"/>
      <x:c r="AA51" s="14"/>
      <x:c r="AB51" s="13"/>
      <x:c r="AC51" s="13"/>
      <x:c r="AD51" s="15" t="str">
        <x:f aca="0">IF(P51="","",P51-LN(7))</x:f>
      </x:c>
      <x:c r="AE51" s="15" t="str">
        <x:f aca="0">IF(OR(T51="",S51=""),"",T51-S51)</x:f>
      </x:c>
      <x:c r="AF51" s="15" t="str">
        <x:f aca="0">IF(OR(V51="",Seeds!$C$8=""),"",V51-Seeds!$C$8)</x:f>
      </x:c>
      <x:c r="AG51" s="15" t="str">
        <x:f aca="0">IF(OR(AF51="",Seeds!$C$10=""),"",IF(ABS(AF51)&gt;Seeds!$C$10,"Có","Không"))</x:f>
      </x:c>
    </x:row>
    <x:row r="52" ht="15" hidden="0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4"/>
      <x:c r="Q52" s="14"/>
      <x:c r="R52" s="13"/>
      <x:c r="S52" s="14"/>
      <x:c r="T52" s="14"/>
      <x:c r="U52" s="14"/>
      <x:c r="V52" s="14"/>
      <x:c r="W52" s="13"/>
      <x:c r="X52" s="13"/>
      <x:c r="Y52" s="13"/>
      <x:c r="Z52" s="14"/>
      <x:c r="AA52" s="14"/>
      <x:c r="AB52" s="13"/>
      <x:c r="AC52" s="13"/>
      <x:c r="AD52" s="15" t="str">
        <x:f aca="0">IF(P52="","",P52-LN(7))</x:f>
      </x:c>
      <x:c r="AE52" s="15" t="str">
        <x:f aca="0">IF(OR(T52="",S52=""),"",T52-S52)</x:f>
      </x:c>
      <x:c r="AF52" s="15" t="str">
        <x:f aca="0">IF(OR(V52="",Seeds!$C$8=""),"",V52-Seeds!$C$8)</x:f>
      </x:c>
      <x:c r="AG52" s="15" t="str">
        <x:f aca="0">IF(OR(AF52="",Seeds!$C$10=""),"",IF(ABS(AF52)&gt;Seeds!$C$10,"Có","Không"))</x:f>
      </x:c>
    </x:row>
    <x:row r="53" ht="15" hidden="0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4"/>
      <x:c r="Q53" s="14"/>
      <x:c r="R53" s="13"/>
      <x:c r="S53" s="14"/>
      <x:c r="T53" s="14"/>
      <x:c r="U53" s="14"/>
      <x:c r="V53" s="14"/>
      <x:c r="W53" s="13"/>
      <x:c r="X53" s="13"/>
      <x:c r="Y53" s="13"/>
      <x:c r="Z53" s="14"/>
      <x:c r="AA53" s="14"/>
      <x:c r="AB53" s="13"/>
      <x:c r="AC53" s="13"/>
      <x:c r="AD53" s="15" t="str">
        <x:f aca="0">IF(P53="","",P53-LN(7))</x:f>
      </x:c>
      <x:c r="AE53" s="15" t="str">
        <x:f aca="0">IF(OR(T53="",S53=""),"",T53-S53)</x:f>
      </x:c>
      <x:c r="AF53" s="15" t="str">
        <x:f aca="0">IF(OR(V53="",Seeds!$C$8=""),"",V53-Seeds!$C$8)</x:f>
      </x:c>
      <x:c r="AG53" s="15" t="str">
        <x:f aca="0">IF(OR(AF53="",Seeds!$C$10=""),"",IF(ABS(AF53)&gt;Seeds!$C$10,"Có","Không"))</x:f>
      </x:c>
    </x:row>
    <x:row r="54" ht="15" hidden="0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4"/>
      <x:c r="Q54" s="14"/>
      <x:c r="R54" s="13"/>
      <x:c r="S54" s="14"/>
      <x:c r="T54" s="14"/>
      <x:c r="U54" s="14"/>
      <x:c r="V54" s="14"/>
      <x:c r="W54" s="13"/>
      <x:c r="X54" s="13"/>
      <x:c r="Y54" s="13"/>
      <x:c r="Z54" s="14"/>
      <x:c r="AA54" s="14"/>
      <x:c r="AB54" s="13"/>
      <x:c r="AC54" s="13"/>
      <x:c r="AD54" s="15" t="str">
        <x:f aca="0">IF(P54="","",P54-LN(7))</x:f>
      </x:c>
      <x:c r="AE54" s="15" t="str">
        <x:f aca="0">IF(OR(T54="",S54=""),"",T54-S54)</x:f>
      </x:c>
      <x:c r="AF54" s="15" t="str">
        <x:f aca="0">IF(OR(V54="",Seeds!$C$8=""),"",V54-Seeds!$C$8)</x:f>
      </x:c>
      <x:c r="AG54" s="15" t="str">
        <x:f aca="0">IF(OR(AF54="",Seeds!$C$10=""),"",IF(ABS(AF54)&gt;Seeds!$C$10,"Có","Không"))</x:f>
      </x:c>
    </x:row>
    <x:row r="55" ht="15" hidden="0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4"/>
      <x:c r="Q55" s="14"/>
      <x:c r="R55" s="13"/>
      <x:c r="S55" s="14"/>
      <x:c r="T55" s="14"/>
      <x:c r="U55" s="14"/>
      <x:c r="V55" s="14"/>
      <x:c r="W55" s="13"/>
      <x:c r="X55" s="13"/>
      <x:c r="Y55" s="13"/>
      <x:c r="Z55" s="14"/>
      <x:c r="AA55" s="14"/>
      <x:c r="AB55" s="13"/>
      <x:c r="AC55" s="13"/>
      <x:c r="AD55" s="15" t="str">
        <x:f aca="0">IF(P55="","",P55-LN(7))</x:f>
      </x:c>
      <x:c r="AE55" s="15" t="str">
        <x:f aca="0">IF(OR(T55="",S55=""),"",T55-S55)</x:f>
      </x:c>
      <x:c r="AF55" s="15" t="str">
        <x:f aca="0">IF(OR(V55="",Seeds!$C$8=""),"",V55-Seeds!$C$8)</x:f>
      </x:c>
      <x:c r="AG55" s="15" t="str">
        <x:f aca="0">IF(OR(AF55="",Seeds!$C$10=""),"",IF(ABS(AF55)&gt;Seeds!$C$10,"Có","Không"))</x:f>
      </x:c>
    </x:row>
    <x:row r="56" ht="15" hidden="0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4"/>
      <x:c r="Q56" s="14"/>
      <x:c r="R56" s="13"/>
      <x:c r="S56" s="14"/>
      <x:c r="T56" s="14"/>
      <x:c r="U56" s="14"/>
      <x:c r="V56" s="14"/>
      <x:c r="W56" s="13"/>
      <x:c r="X56" s="13"/>
      <x:c r="Y56" s="13"/>
      <x:c r="Z56" s="14"/>
      <x:c r="AA56" s="14"/>
      <x:c r="AB56" s="13"/>
      <x:c r="AC56" s="13"/>
      <x:c r="AD56" s="15" t="str">
        <x:f aca="0">IF(P56="","",P56-LN(7))</x:f>
      </x:c>
      <x:c r="AE56" s="15" t="str">
        <x:f aca="0">IF(OR(T56="",S56=""),"",T56-S56)</x:f>
      </x:c>
      <x:c r="AF56" s="15" t="str">
        <x:f aca="0">IF(OR(V56="",Seeds!$C$8=""),"",V56-Seeds!$C$8)</x:f>
      </x:c>
      <x:c r="AG56" s="15" t="str">
        <x:f aca="0">IF(OR(AF56="",Seeds!$C$10=""),"",IF(ABS(AF56)&gt;Seeds!$C$10,"Có","Không"))</x:f>
      </x:c>
    </x:row>
    <x:row r="57" ht="15" hidden="0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4"/>
      <x:c r="Q57" s="14"/>
      <x:c r="R57" s="13"/>
      <x:c r="S57" s="14"/>
      <x:c r="T57" s="14"/>
      <x:c r="U57" s="14"/>
      <x:c r="V57" s="14"/>
      <x:c r="W57" s="13"/>
      <x:c r="X57" s="13"/>
      <x:c r="Y57" s="13"/>
      <x:c r="Z57" s="14"/>
      <x:c r="AA57" s="14"/>
      <x:c r="AB57" s="13"/>
      <x:c r="AC57" s="13"/>
      <x:c r="AD57" s="15" t="str">
        <x:f aca="0">IF(P57="","",P57-LN(7))</x:f>
      </x:c>
      <x:c r="AE57" s="15" t="str">
        <x:f aca="0">IF(OR(T57="",S57=""),"",T57-S57)</x:f>
      </x:c>
      <x:c r="AF57" s="15" t="str">
        <x:f aca="0">IF(OR(V57="",Seeds!$C$8=""),"",V57-Seeds!$C$8)</x:f>
      </x:c>
      <x:c r="AG57" s="15" t="str">
        <x:f aca="0">IF(OR(AF57="",Seeds!$C$10=""),"",IF(ABS(AF57)&gt;Seeds!$C$10,"Có","Không"))</x:f>
      </x:c>
    </x:row>
    <x:row r="58" ht="15" hidden="0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4"/>
      <x:c r="Q58" s="14"/>
      <x:c r="R58" s="13"/>
      <x:c r="S58" s="14"/>
      <x:c r="T58" s="14"/>
      <x:c r="U58" s="14"/>
      <x:c r="V58" s="14"/>
      <x:c r="W58" s="13"/>
      <x:c r="X58" s="13"/>
      <x:c r="Y58" s="13"/>
      <x:c r="Z58" s="14"/>
      <x:c r="AA58" s="14"/>
      <x:c r="AB58" s="13"/>
      <x:c r="AC58" s="13"/>
      <x:c r="AD58" s="15" t="str">
        <x:f aca="0">IF(P58="","",P58-LN(7))</x:f>
      </x:c>
      <x:c r="AE58" s="15" t="str">
        <x:f aca="0">IF(OR(T58="",S58=""),"",T58-S58)</x:f>
      </x:c>
      <x:c r="AF58" s="15" t="str">
        <x:f aca="0">IF(OR(V58="",Seeds!$C$8=""),"",V58-Seeds!$C$8)</x:f>
      </x:c>
      <x:c r="AG58" s="15" t="str">
        <x:f aca="0">IF(OR(AF58="",Seeds!$C$10=""),"",IF(ABS(AF58)&gt;Seeds!$C$10,"Có","Không"))</x:f>
      </x:c>
    </x:row>
    <x:row r="59" ht="15" hidden="0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4"/>
      <x:c r="Q59" s="14"/>
      <x:c r="R59" s="13"/>
      <x:c r="S59" s="14"/>
      <x:c r="T59" s="14"/>
      <x:c r="U59" s="14"/>
      <x:c r="V59" s="14"/>
      <x:c r="W59" s="13"/>
      <x:c r="X59" s="13"/>
      <x:c r="Y59" s="13"/>
      <x:c r="Z59" s="14"/>
      <x:c r="AA59" s="14"/>
      <x:c r="AB59" s="13"/>
      <x:c r="AC59" s="13"/>
      <x:c r="AD59" s="15" t="str">
        <x:f aca="0">IF(P59="","",P59-LN(7))</x:f>
      </x:c>
      <x:c r="AE59" s="15" t="str">
        <x:f aca="0">IF(OR(T59="",S59=""),"",T59-S59)</x:f>
      </x:c>
      <x:c r="AF59" s="15" t="str">
        <x:f aca="0">IF(OR(V59="",Seeds!$C$8=""),"",V59-Seeds!$C$8)</x:f>
      </x:c>
      <x:c r="AG59" s="15" t="str">
        <x:f aca="0">IF(OR(AF59="",Seeds!$C$10=""),"",IF(ABS(AF59)&gt;Seeds!$C$10,"Có","Không"))</x:f>
      </x:c>
    </x:row>
    <x:row r="60" ht="15" hidden="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4"/>
      <x:c r="Q60" s="14"/>
      <x:c r="R60" s="13"/>
      <x:c r="S60" s="14"/>
      <x:c r="T60" s="14"/>
      <x:c r="U60" s="14"/>
      <x:c r="V60" s="14"/>
      <x:c r="W60" s="13"/>
      <x:c r="X60" s="13"/>
      <x:c r="Y60" s="13"/>
      <x:c r="Z60" s="14"/>
      <x:c r="AA60" s="14"/>
      <x:c r="AB60" s="13"/>
      <x:c r="AC60" s="13"/>
      <x:c r="AD60" s="15" t="str">
        <x:f aca="0">IF(P60="","",P60-LN(7))</x:f>
      </x:c>
      <x:c r="AE60" s="15" t="str">
        <x:f aca="0">IF(OR(T60="",S60=""),"",T60-S60)</x:f>
      </x:c>
      <x:c r="AF60" s="15" t="str">
        <x:f aca="0">IF(OR(V60="",Seeds!$C$8=""),"",V60-Seeds!$C$8)</x:f>
      </x:c>
      <x:c r="AG60" s="15" t="str">
        <x:f aca="0">IF(OR(AF60="",Seeds!$C$10=""),"",IF(ABS(AF60)&gt;Seeds!$C$10,"Có","Không"))</x:f>
      </x:c>
    </x:row>
    <x:row r="61" ht="15" hidden="0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4"/>
      <x:c r="Q61" s="14"/>
      <x:c r="R61" s="13"/>
      <x:c r="S61" s="14"/>
      <x:c r="T61" s="14"/>
      <x:c r="U61" s="14"/>
      <x:c r="V61" s="14"/>
      <x:c r="W61" s="13"/>
      <x:c r="X61" s="13"/>
      <x:c r="Y61" s="13"/>
      <x:c r="Z61" s="14"/>
      <x:c r="AA61" s="14"/>
      <x:c r="AB61" s="13"/>
      <x:c r="AC61" s="13"/>
      <x:c r="AD61" s="15" t="str">
        <x:f aca="0">IF(P61="","",P61-LN(7))</x:f>
      </x:c>
      <x:c r="AE61" s="15" t="str">
        <x:f aca="0">IF(OR(T61="",S61=""),"",T61-S61)</x:f>
      </x:c>
      <x:c r="AF61" s="15" t="str">
        <x:f aca="0">IF(OR(V61="",Seeds!$C$8=""),"",V61-Seeds!$C$8)</x:f>
      </x:c>
      <x:c r="AG61" s="15" t="str">
        <x:f aca="0">IF(OR(AF61="",Seeds!$C$10=""),"",IF(ABS(AF61)&gt;Seeds!$C$10,"Có","Không"))</x:f>
      </x:c>
    </x:row>
  </x:sheetData>
  <x:dataValidations count="6">
    <x:dataValidation type="list" errorStyle="stop" operator="between" allowBlank="1" showDropDown="0" showInputMessage="0" showErrorMessage="0" sqref="B2:B61">
      <x:formula1>"baseline,loss,optimizer,hparam,dropout,clipping,amp,init,final,other"</x:formula1>
      <x:formula2>0</x:formula2>
    </x:dataValidation>
    <x:dataValidation type="list" errorStyle="stop" operator="between" allowBlank="1" showDropDown="0" showInputMessage="0" showErrorMessage="0" sqref="D2:D61">
      <x:formula1>"CE,MSE"</x:formula1>
      <x:formula2>0</x:formula2>
    </x:dataValidation>
    <x:dataValidation type="list" errorStyle="stop" operator="between" allowBlank="1" showDropDown="0" showInputMessage="0" showErrorMessage="0" sqref="E2:E61">
      <x:formula1>"SGD,SGD+momentum,Adam,AdamW"</x:formula1>
      <x:formula2>0</x:formula2>
    </x:dataValidation>
    <x:dataValidation type="list" errorStyle="stop" operator="between" allowBlank="1" showDropDown="0" showInputMessage="0" showErrorMessage="0" sqref="M2:M61">
      <x:formula1>"fp32,fp16,bf16"</x:formula1>
      <x:formula2>0</x:formula2>
    </x:dataValidation>
    <x:dataValidation type="list" errorStyle="stop" operator="between" allowBlank="1" showDropDown="0" showInputMessage="0" showErrorMessage="0" sqref="N2:N61">
      <x:formula1>"zeros,normal,xavier,he,default"</x:formula1>
      <x:formula2>0</x:formula2>
    </x:dataValidation>
    <x:dataValidation type="list" errorStyle="stop" operator="between" allowBlank="1" showDropDown="0" showInputMessage="0" showErrorMessage="0" sqref="Y2:Y61">
      <x:formula1>"Y,N"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4" width="16" hidden="0" customWidth="1"/>
  </x:cols>
  <x:sheetData>
    <x:row r="1" ht="30" hidden="0" customHeight="1">
      <x:c r="A1" s="7" t="s">
        <x:v>113</x:v>
      </x:c>
      <x:c r="B1" s="7" t="s">
        <x:v>70</x:v>
      </x:c>
      <x:c r="C1" s="7" t="s">
        <x:v>73</x:v>
      </x:c>
      <x:c r="D1" s="7" t="s">
        <x:v>61</x:v>
      </x:c>
    </x:row>
    <x:row r="2" ht="15" hidden="0">
      <x:c r="A2" s="12" t="s">
        <x:v>114</x:v>
      </x:c>
      <x:c r="B2" s="44" t="n">
        <x:f aca="0">IFERROR(VLOOKUP(A2,Experiments!$A$2:$AA$12,21,FALSE),"")</x:f>
        <x:v>0.782</x:v>
      </x:c>
      <x:c r="C2" s="44" t="n">
        <x:f aca="0">IFERROR(VLOOKUP(A2,Experiments!$A$2:$AA$12,22,FALSE),"")</x:f>
        <x:v>0.744</x:v>
      </x:c>
      <x:c r="D2" s="44" t="n">
        <x:f aca="0">IFERROR(VLOOKUP(A2,Experiments!$A$2:$AA$12,17,FALSE),"")</x:f>
        <x:v>0.646</x:v>
      </x:c>
    </x:row>
    <x:row r="3" ht="15" hidden="0">
      <x:c r="A3" s="12" t="s">
        <x:v>115</x:v>
      </x:c>
      <x:c r="B3" s="44" t="n">
        <x:f aca="0">IFERROR(VLOOKUP(A3,Experiments!$A$2:$AA$12,21,FALSE),"")</x:f>
        <x:v>0.785</x:v>
      </x:c>
      <x:c r="C3" s="44" t="n">
        <x:f aca="0">IFERROR(VLOOKUP(A3,Experiments!$A$2:$AA$12,22,FALSE),"")</x:f>
        <x:v>0.748</x:v>
      </x:c>
      <x:c r="D3" s="44" t="n">
        <x:f aca="0">IFERROR(VLOOKUP(A3,Experiments!$A$2:$AA$12,17,FALSE),"")</x:f>
        <x:v>0.64</x:v>
      </x:c>
    </x:row>
    <x:row r="4" ht="15" hidden="0">
      <x:c r="A4" s="12" t="s">
        <x:v>116</x:v>
      </x:c>
      <x:c r="B4" s="44" t="n">
        <x:f aca="0">IFERROR(VLOOKUP(A4,Experiments!$A$2:$AA$12,21,FALSE),"")</x:f>
        <x:v>0.78</x:v>
      </x:c>
      <x:c r="C4" s="44" t="n">
        <x:f aca="0">IFERROR(VLOOKUP(A4,Experiments!$A$2:$AA$12,22,FALSE),"")</x:f>
        <x:v>0.741</x:v>
      </x:c>
      <x:c r="D4" s="44" t="n">
        <x:f aca="0">IFERROR(VLOOKUP(A4,Experiments!$A$2:$AA$12,17,FALSE),"")</x:f>
        <x:v>0.652</x:v>
      </x:c>
    </x:row>
    <x:row r="5" ht="15" hidden="0">
      <x:c r="A5" s="13"/>
      <x:c r="B5" s="44" t="str">
        <x:f aca="0">IF($A5="","",IFERROR(IF(INDEX(Experiments!$U$2:$U$61,MATCH($A5,Experiments!$A$2:$A$61,0))="","",INDEX(Experiments!$U$2:$U$61,MATCH($A5,Experiments!$A$2:$A$61,0))),""))</x:f>
      </x:c>
      <x:c r="C5" s="44" t="str">
        <x:f aca="0">IF($A5="","",IFERROR(IF(INDEX(Experiments!$V$2:$V$61,MATCH($A5,Experiments!$A$2:$A$61,0))="","",INDEX(Experiments!$V$2:$V$61,MATCH($A5,Experiments!$A$2:$A$61,0))),""))</x:f>
      </x:c>
      <x:c r="D5" s="44" t="str">
        <x:f aca="0">IF($A5="","",IFERROR(IF(INDEX(Experiments!$Q$2:$Q$61,MATCH($A5,Experiments!$A$2:$A$61,0))="","",INDEX(Experiments!$Q$2:$Q$61,MATCH($A5,Experiments!$A$2:$A$61,0))),""))</x:f>
      </x:c>
    </x:row>
    <x:row r="6" ht="15" hidden="0">
      <x:c r="A6" s="13"/>
      <x:c r="B6" s="44" t="str">
        <x:f aca="0">IF($A6="","",IFERROR(IF(INDEX(Experiments!$U$2:$U$61,MATCH($A6,Experiments!$A$2:$A$61,0))="","",INDEX(Experiments!$U$2:$U$61,MATCH($A6,Experiments!$A$2:$A$61,0))),""))</x:f>
      </x:c>
      <x:c r="C6" s="44" t="str">
        <x:f aca="0">IF($A6="","",IFERROR(IF(INDEX(Experiments!$V$2:$V$61,MATCH($A6,Experiments!$A$2:$A$61,0))="","",INDEX(Experiments!$V$2:$V$61,MATCH($A6,Experiments!$A$2:$A$61,0))),""))</x:f>
      </x:c>
      <x:c r="D6" s="44" t="str">
        <x:f aca="0">IF($A6="","",IFERROR(IF(INDEX(Experiments!$Q$2:$Q$61,MATCH($A6,Experiments!$A$2:$A$61,0))="","",INDEX(Experiments!$Q$2:$Q$61,MATCH($A6,Experiments!$A$2:$A$61,0))),""))</x:f>
      </x:c>
    </x:row>
    <x:row r="7">
      <x:c r="B7" s="46"/>
      <x:c r="C7" s="46"/>
      <x:c r="D7" s="46"/>
    </x:row>
    <x:row r="8" ht="15" hidden="0">
      <x:c r="A8" s="16" t="s">
        <x:v>117</x:v>
      </x:c>
      <x:c r="B8" s="44" t="n">
        <x:f aca="0">AVERAGE(B2:B4)</x:f>
        <x:v>0.7823333333333334</x:v>
      </x:c>
      <x:c r="C8" s="44" t="n">
        <x:f aca="0">AVERAGE(C2:C4)</x:f>
        <x:v>0.7443333333333334</x:v>
      </x:c>
      <x:c r="D8" s="44" t="n">
        <x:f aca="0">AVERAGE(D2:D4)</x:f>
        <x:v>0.646</x:v>
      </x:c>
    </x:row>
    <x:row r="9" ht="15" hidden="0">
      <x:c r="A9" s="16" t="s">
        <x:v>118</x:v>
      </x:c>
      <x:c r="B9" s="44" t="n">
        <x:f aca="0">STDEV.S(B2:B4)</x:f>
        <x:v>0.0025166114784235852</x:v>
      </x:c>
      <x:c r="C9" s="44" t="n">
        <x:f aca="0">STDEV.S(C2:C4)</x:f>
        <x:v>0.0035118845842842497</x:v>
      </x:c>
      <x:c r="D9" s="44" t="n">
        <x:f aca="0">STDEV.S(D2:D4)</x:f>
        <x:v>0.006000000000000005</x:v>
      </x:c>
    </x:row>
    <x:row r="10" ht="15" hidden="0">
      <x:c r="A10" s="16" t="s">
        <x:v>119</x:v>
      </x:c>
      <x:c r="B10" s="44" t="n">
        <x:f aca="0">2*B9</x:f>
        <x:v>0.0050332229568471705</x:v>
      </x:c>
      <x:c r="C10" s="44" t="n">
        <x:f aca="0">2*C9</x:f>
        <x:v>0.0070237691685684995</x:v>
      </x:c>
      <x:c r="D10" s="44" t="n">
        <x:f aca="0">2*D9</x:f>
        <x:v>0.01200000000000001</x:v>
      </x:c>
    </x:row>
    <x:row r="12" ht="15" hidden="0">
      <x:c r="A12" s="2" t="s">
        <x:v>120</x:v>
      </x:c>
    </x:row>
    <x:row r="13" ht="15" hidden="0">
      <x:c r="A13" s="2" t="s">
        <x:v>121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0" hidden="0" customWidth="1"/>
    <x:col min="3" max="5" width="16" hidden="0" customWidth="1"/>
    <x:col min="6" max="6" width="14" hidden="0" customWidth="1"/>
    <x:col min="7" max="7" width="16" hidden="0" customWidth="1"/>
    <x:col min="8" max="8" width="50" hidden="0" customWidth="1"/>
  </x:cols>
  <x:sheetData>
    <x:row r="1" ht="31.5" hidden="0" customHeight="1">
      <x:c r="A1" s="58" t="s">
        <x:v>21</x:v>
      </x:c>
      <x:c r="B1" s="58" t="s">
        <x:v>122</x:v>
      </x:c>
      <x:c r="C1" s="58" t="s">
        <x:v>123</x:v>
      </x:c>
      <x:c r="D1" s="58" t="s">
        <x:v>124</x:v>
      </x:c>
      <x:c r="E1" s="58" t="s">
        <x:v>125</x:v>
      </x:c>
      <x:c r="F1" s="58" t="s">
        <x:v>126</x:v>
      </x:c>
      <x:c r="G1" s="58" t="s">
        <x:v>127</x:v>
      </x:c>
      <x:c r="H1" s="58" t="s">
        <x:v>128</x:v>
      </x:c>
    </x:row>
    <x:row r="2" ht="15" hidden="0">
      <x:c r="A2" s="73" t="s">
        <x:v>129</x:v>
      </x:c>
      <x:c r="B2" s="74" t="n">
        <x:f aca="0">COUNTIF(Experiments!$B$2:$B$61,A2)</x:f>
        <x:v>3</x:v>
      </x:c>
      <x:c r="C2" s="74" t="n">
        <x:f aca="0">COUNTIFS(Experiments!$B$2:$B$61,A2,Experiments!$V$2:$V$61,"&gt;0")</x:f>
        <x:v>3</x:v>
      </x:c>
      <x:c r="D2" s="64" t="n">
        <x:f aca="0">IF(C2=0,"",MAXIFS(Experiments!$V$2:$V$61,Experiments!$B$2:$B$61,A2))</x:f>
        <x:v>0.748</x:v>
      </x:c>
      <x:c r="E2" s="64" t="n">
        <x:f aca="0">IF(C2=0,"",MINIFS(Experiments!$V$2:$V$61,Experiments!$B$2:$B$61,A2))</x:f>
        <x:v>0.741</x:v>
      </x:c>
      <x:c r="F2" s="64" t="n">
        <x:f aca="0">IF(C2=0,"",MAXIFS(Experiments!$U$2:$U$61,Experiments!$B$2:$B$61,A2))</x:f>
        <x:v>0.785</x:v>
      </x:c>
      <x:c r="G2" s="74" t="str">
        <x:v>—</x:v>
      </x:c>
      <x:c r="H2" s="75" t="str">
        <x:v>Baseline gồm 3 seed để ước lượng độ nhiễu.</x:v>
      </x:c>
    </x:row>
    <x:row r="3" ht="15" hidden="0">
      <x:c r="A3" s="73" t="s">
        <x:v>27</x:v>
      </x:c>
      <x:c r="B3" s="74" t="n">
        <x:f aca="0">COUNTIF(Experiments!$B$2:$B$61,A3)</x:f>
        <x:v>1</x:v>
      </x:c>
      <x:c r="C3" s="74" t="n">
        <x:f aca="0">COUNTIFS(Experiments!$B$2:$B$61,A3,Experiments!$V$2:$V$61,"&gt;0")</x:f>
        <x:v>1</x:v>
      </x:c>
      <x:c r="D3" s="64" t="n">
        <x:f aca="0">IF(C3=0,"",MAXIFS(Experiments!$V$2:$V$61,Experiments!$B$2:$B$61,A3))</x:f>
        <x:v>0.726</x:v>
      </x:c>
      <x:c r="E3" s="64" t="n">
        <x:f aca="0">IF(C3=0,"",MINIFS(Experiments!$V$2:$V$61,Experiments!$B$2:$B$61,A3))</x:f>
        <x:v>0.726</x:v>
      </x:c>
      <x:c r="F3" s="64" t="n">
        <x:f aca="0">IF(C3=0,"",MAXIFS(Experiments!$U$2:$U$61,Experiments!$B$2:$B$61,A3))</x:f>
        <x:v>0.766</x:v>
      </x:c>
      <x:c r="G3" s="74" t="str">
        <x:f aca="0">IF(B3&gt;0,"Đã thử","Chưa")</x:f>
        <x:v>Đã thử</x:v>
      </x:c>
      <x:c r="H3" s="75" t="str">
        <x:v>MSE giảm macro-F1 trong dữ liệu mô phỏng.</x:v>
      </x:c>
    </x:row>
    <x:row r="4" ht="15" hidden="0">
      <x:c r="A4" s="73" t="s">
        <x:v>29</x:v>
      </x:c>
      <x:c r="B4" s="74" t="n">
        <x:f aca="0">COUNTIF(Experiments!$B$2:$B$61,A4)</x:f>
        <x:v>1</x:v>
      </x:c>
      <x:c r="C4" s="74" t="n">
        <x:f aca="0">COUNTIFS(Experiments!$B$2:$B$61,A4,Experiments!$V$2:$V$61,"&gt;0")</x:f>
        <x:v>1</x:v>
      </x:c>
      <x:c r="D4" s="64" t="n">
        <x:f aca="0">IF(C4=0,"",MAXIFS(Experiments!$V$2:$V$61,Experiments!$B$2:$B$61,A4))</x:f>
        <x:v>0.758</x:v>
      </x:c>
      <x:c r="E4" s="64" t="n">
        <x:f aca="0">IF(C4=0,"",MINIFS(Experiments!$V$2:$V$61,Experiments!$B$2:$B$61,A4))</x:f>
        <x:v>0.758</x:v>
      </x:c>
      <x:c r="F4" s="64" t="n">
        <x:f aca="0">IF(C4=0,"",MAXIFS(Experiments!$U$2:$U$61,Experiments!$B$2:$B$61,A4))</x:f>
        <x:v>0.79</x:v>
      </x:c>
      <x:c r="G4" s="74" t="str">
        <x:f aca="0">IF(B4&gt;0,"Đã thử","Chưa")</x:f>
        <x:v>Đã thử</x:v>
      </x:c>
      <x:c r="H4" s="75" t="str">
        <x:v>Adam cho macro-F1 cao hơn baseline trong dữ liệu mô phỏng.</x:v>
      </x:c>
    </x:row>
    <x:row r="5" ht="15" hidden="0">
      <x:c r="A5" s="73" t="s">
        <x:v>130</x:v>
      </x:c>
      <x:c r="B5" s="74" t="n">
        <x:f aca="0">COUNTIF(Experiments!$B$2:$B$61,A5)</x:f>
        <x:v>1</x:v>
      </x:c>
      <x:c r="C5" s="74" t="n">
        <x:f aca="0">COUNTIFS(Experiments!$B$2:$B$61,A5,Experiments!$V$2:$V$61,"&gt;0")</x:f>
        <x:v>1</x:v>
      </x:c>
      <x:c r="D5" s="64" t="n">
        <x:f aca="0">IF(C5=0,"",MAXIFS(Experiments!$V$2:$V$61,Experiments!$B$2:$B$61,A5))</x:f>
        <x:v>0.753</x:v>
      </x:c>
      <x:c r="E5" s="64" t="n">
        <x:f aca="0">IF(C5=0,"",MINIFS(Experiments!$V$2:$V$61,Experiments!$B$2:$B$61,A5))</x:f>
        <x:v>0.753</x:v>
      </x:c>
      <x:c r="F5" s="64" t="n">
        <x:f aca="0">IF(C5=0,"",MAXIFS(Experiments!$U$2:$U$61,Experiments!$B$2:$B$61,A5))</x:f>
        <x:v>0.788</x:v>
      </x:c>
      <x:c r="G5" s="74" t="str">
        <x:f aca="0">IF(B5&gt;0,"Đã thử","Chưa")</x:f>
        <x:v>Đã thử</x:v>
      </x:c>
      <x:c r="H5" s="75" t="str">
        <x:v>LR 0.05 cải thiện nhẹ so với baseline mean.</x:v>
      </x:c>
    </x:row>
    <x:row r="6" ht="15" hidden="0">
      <x:c r="A6" s="73" t="s">
        <x:v>46</x:v>
      </x:c>
      <x:c r="B6" s="74" t="n">
        <x:f aca="0">COUNTIF(Experiments!$B$2:$B$61,A6)</x:f>
        <x:v>1</x:v>
      </x:c>
      <x:c r="C6" s="74" t="n">
        <x:f aca="0">COUNTIFS(Experiments!$B$2:$B$61,A6,Experiments!$V$2:$V$61,"&gt;0")</x:f>
        <x:v>1</x:v>
      </x:c>
      <x:c r="D6" s="64" t="n">
        <x:f aca="0">IF(C6=0,"",MAXIFS(Experiments!$V$2:$V$61,Experiments!$B$2:$B$61,A6))</x:f>
        <x:v>0.739</x:v>
      </x:c>
      <x:c r="E6" s="64" t="n">
        <x:f aca="0">IF(C6=0,"",MINIFS(Experiments!$V$2:$V$61,Experiments!$B$2:$B$61,A6))</x:f>
        <x:v>0.739</x:v>
      </x:c>
      <x:c r="F6" s="64" t="n">
        <x:f aca="0">IF(C6=0,"",MAXIFS(Experiments!$U$2:$U$61,Experiments!$B$2:$B$61,A6))</x:f>
        <x:v>0.775</x:v>
      </x:c>
      <x:c r="G6" s="74" t="str">
        <x:f aca="0">IF(B6&gt;0,"Đã thử","Chưa")</x:f>
        <x:v>Đã thử</x:v>
      </x:c>
      <x:c r="H6" s="75" t="str">
        <x:v>Dropout 0.3 làm giảm nhẹ validation score.</x:v>
      </x:c>
    </x:row>
    <x:row r="7" ht="15" hidden="0">
      <x:c r="A7" s="73" t="s">
        <x:v>131</x:v>
      </x:c>
      <x:c r="B7" s="74" t="n">
        <x:f aca="0">COUNTIF(Experiments!$B$2:$B$61,A7)</x:f>
        <x:v>1</x:v>
      </x:c>
      <x:c r="C7" s="74" t="n">
        <x:f aca="0">COUNTIFS(Experiments!$B$2:$B$61,A7,Experiments!$V$2:$V$61,"&gt;0")</x:f>
        <x:v>1</x:v>
      </x:c>
      <x:c r="D7" s="64" t="n">
        <x:f aca="0">IF(C7=0,"",MAXIFS(Experiments!$V$2:$V$61,Experiments!$B$2:$B$61,A7))</x:f>
        <x:v>0.747</x:v>
      </x:c>
      <x:c r="E7" s="64" t="n">
        <x:f aca="0">IF(C7=0,"",MINIFS(Experiments!$V$2:$V$61,Experiments!$B$2:$B$61,A7))</x:f>
        <x:v>0.747</x:v>
      </x:c>
      <x:c r="F7" s="64" t="n">
        <x:f aca="0">IF(C7=0,"",MAXIFS(Experiments!$U$2:$U$61,Experiments!$B$2:$B$61,A7))</x:f>
        <x:v>0.784</x:v>
      </x:c>
      <x:c r="G7" s="74" t="str">
        <x:f aca="0">IF(B7&gt;0,"Đã thử","Chưa")</x:f>
        <x:v>Đã thử</x:v>
      </x:c>
      <x:c r="H7" s="75" t="str">
        <x:v>Clipping 1.0 thay đổi rất nhỏ.</x:v>
      </x:c>
    </x:row>
    <x:row r="8" ht="15" hidden="0">
      <x:c r="A8" s="73" t="s">
        <x:v>132</x:v>
      </x:c>
      <x:c r="B8" s="74" t="n">
        <x:f aca="0">COUNTIF(Experiments!$B$2:$B$61,A8)</x:f>
        <x:v>1</x:v>
      </x:c>
      <x:c r="C8" s="74" t="n">
        <x:f aca="0">COUNTIFS(Experiments!$B$2:$B$61,A8,Experiments!$V$2:$V$61,"&gt;0")</x:f>
        <x:v>1</x:v>
      </x:c>
      <x:c r="D8" s="64" t="n">
        <x:f aca="0">IF(C8=0,"",MAXIFS(Experiments!$V$2:$V$61,Experiments!$B$2:$B$61,A8))</x:f>
        <x:v>0.745</x:v>
      </x:c>
      <x:c r="E8" s="64" t="n">
        <x:f aca="0">IF(C8=0,"",MINIFS(Experiments!$V$2:$V$61,Experiments!$B$2:$B$61,A8))</x:f>
        <x:v>0.745</x:v>
      </x:c>
      <x:c r="F8" s="64" t="n">
        <x:f aca="0">IF(C8=0,"",MAXIFS(Experiments!$U$2:$U$61,Experiments!$B$2:$B$61,A8))</x:f>
        <x:v>0.783</x:v>
      </x:c>
      <x:c r="G8" s="74" t="str">
        <x:f aca="0">IF(B8&gt;0,"Đã thử","Chưa")</x:f>
        <x:v>Đã thử</x:v>
      </x:c>
      <x:c r="H8" s="75" t="str">
        <x:v>FP16 cho kết quả gần baseline và thời gian/epoch thấp hơn.</x:v>
      </x:c>
    </x:row>
    <x:row r="9" ht="15" hidden="0">
      <x:c r="A9" s="73" t="s">
        <x:v>53</x:v>
      </x:c>
      <x:c r="B9" s="74" t="n">
        <x:f aca="0">COUNTIF(Experiments!$B$2:$B$61,A9)</x:f>
        <x:v>1</x:v>
      </x:c>
      <x:c r="C9" s="74" t="n">
        <x:f aca="0">COUNTIFS(Experiments!$B$2:$B$61,A9,Experiments!$V$2:$V$61,"&gt;0")</x:f>
        <x:v>1</x:v>
      </x:c>
      <x:c r="D9" s="64" t="n">
        <x:f aca="0">IF(C9=0,"",MAXIFS(Experiments!$V$2:$V$61,Experiments!$B$2:$B$61,A9))</x:f>
        <x:v>0.738</x:v>
      </x:c>
      <x:c r="E9" s="64" t="n">
        <x:f aca="0">IF(C9=0,"",MINIFS(Experiments!$V$2:$V$61,Experiments!$B$2:$B$61,A9))</x:f>
        <x:v>0.738</x:v>
      </x:c>
      <x:c r="F9" s="64" t="n">
        <x:f aca="0">IF(C9=0,"",MAXIFS(Experiments!$U$2:$U$61,Experiments!$B$2:$B$61,A9))</x:f>
        <x:v>0.778</x:v>
      </x:c>
      <x:c r="G9" s="74" t="str">
        <x:f aca="0">IF(B9&gt;0,"Đã thử","Chưa")</x:f>
        <x:v>Đã thử</x:v>
      </x:c>
      <x:c r="H9" s="75" t="str">
        <x:v>Xavier cho kết quả thấp hơn He trong dữ liệu mô phỏng.</x:v>
      </x:c>
    </x:row>
    <x:row r="10" ht="15" hidden="0">
      <x:c r="A10" s="73" t="s">
        <x:v>133</x:v>
      </x:c>
      <x:c r="B10" s="74" t="n">
        <x:f aca="0">COUNTIF(Experiments!$B$2:$B$61,A10)</x:f>
        <x:v>1</x:v>
      </x:c>
      <x:c r="C10" s="74" t="n">
        <x:f aca="0">COUNTIFS(Experiments!$B$2:$B$61,A10,Experiments!$V$2:$V$61,"&gt;0")</x:f>
        <x:v>1</x:v>
      </x:c>
      <x:c r="D10" s="64" t="n">
        <x:f aca="0">IF(C10=0,"",MAXIFS(Experiments!$V$2:$V$61,Experiments!$B$2:$B$61,A10))</x:f>
        <x:v>0.761</x:v>
      </x:c>
      <x:c r="E10" s="64" t="n">
        <x:f aca="0">IF(C10=0,"",MINIFS(Experiments!$V$2:$V$61,Experiments!$B$2:$B$61,A10))</x:f>
        <x:v>0.761</x:v>
      </x:c>
      <x:c r="F10" s="64" t="n">
        <x:f aca="0">IF(C10=0,"",MAXIFS(Experiments!$U$2:$U$61,Experiments!$B$2:$B$61,A10))</x:f>
        <x:v>0.793</x:v>
      </x:c>
      <x:c r="G10" s="74" t="str">
        <x:v>—</x:v>
      </x:c>
      <x:c r="H10" s="75" t="str">
        <x:v>Final dùng cấu hình Adam theo kết quả validation mô phỏng.</x:v>
      </x:c>
    </x:row>
    <x:row r="11" ht="15" hidden="0">
      <x:c r="A11" s="73" t="s">
        <x:v>134</x:v>
      </x:c>
      <x:c r="B11" s="74" t="n">
        <x:f aca="0">COUNTIF(Experiments!$B$2:$B$61,A11)</x:f>
        <x:v>0</x:v>
      </x:c>
      <x:c r="C11" s="74" t="n">
        <x:f aca="0">COUNTIFS(Experiments!$B$2:$B$61,A11,Experiments!$V$2:$V$61,"&gt;0")</x:f>
        <x:v>0</x:v>
      </x:c>
      <x:c r="D11" s="64" t="str">
        <x:f aca="0">IF(C11=0,"",MAXIFS(Experiments!$V$2:$V$61,Experiments!$B$2:$B$61,A11))</x:f>
      </x:c>
      <x:c r="E11" s="64" t="str">
        <x:f aca="0">IF(C11=0,"",MINIFS(Experiments!$V$2:$V$61,Experiments!$B$2:$B$61,A11))</x:f>
      </x:c>
      <x:c r="F11" s="64" t="str">
        <x:f aca="0">IF(C11=0,"",MAXIFS(Experiments!$U$2:$U$61,Experiments!$B$2:$B$61,A11))</x:f>
      </x:c>
      <x:c r="G11" s="74" t="str">
        <x:v>—</x:v>
      </x:c>
      <x:c r="H11" s="75" t="str"/>
    </x:row>
    <x:row r="12">
      <x:c r="A12" s="76"/>
      <x:c r="B12" s="76"/>
      <x:c r="C12" s="76"/>
      <x:c r="D12" s="76"/>
      <x:c r="E12" s="76"/>
      <x:c r="F12" s="76"/>
      <x:c r="G12" s="76"/>
      <x:c r="H12" s="76"/>
    </x:row>
    <x:row r="13" ht="15" hidden="0">
      <x:c r="A13" s="77" t="s">
        <x:v>135</x:v>
      </x:c>
      <x:c r="B13" s="76"/>
      <x:c r="C13" s="76"/>
      <x:c r="D13" s="77" t="n">
        <x:f aca="0">COUNTIF(G3:G9,"Đã thử")</x:f>
        <x:v>7</x:v>
      </x:c>
      <x:c r="E13" s="76"/>
      <x:c r="F13" s="76"/>
      <x:c r="G13" s="76"/>
      <x:c r="H13" s="76"/>
    </x:row>
    <x:row r="14" ht="15" hidden="0">
      <x:c r="A14" s="78" t="s">
        <x:v>136</x:v>
      </x:c>
      <x:c r="B14" s="76"/>
      <x:c r="C14" s="76"/>
      <x:c r="D14" s="76"/>
      <x:c r="E14" s="76"/>
      <x:c r="F14" s="76"/>
      <x:c r="G14" s="76"/>
      <x:c r="H14" s="76"/>
    </x:row>
  </x:sheetData>
  <x:pageMargins left="0.7" right="0.7" top="0.75" bottom="0.75" header="0.3" footer="0.3"/>
</x:worksheet>
</file>